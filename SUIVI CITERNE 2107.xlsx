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DA OUAKRIM\Desktop\Suivi\"/>
    </mc:Choice>
  </mc:AlternateContent>
  <xr:revisionPtr revIDLastSave="0" documentId="8_{7079F72D-11B0-404F-9593-7DE529BEEAF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ARBURANT" sheetId="1" r:id="rId1"/>
    <sheet name="EA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WXQZWptWK2wbOtKGoSX2RpUSd7IOoOqrctN6JCwUz8="/>
    </ext>
  </extLst>
</workbook>
</file>

<file path=xl/calcChain.xml><?xml version="1.0" encoding="utf-8"?>
<calcChain xmlns="http://schemas.openxmlformats.org/spreadsheetml/2006/main">
  <c r="BJ10" i="2" l="1"/>
  <c r="BH10" i="2"/>
  <c r="AF10" i="2"/>
  <c r="U10" i="2"/>
  <c r="S10" i="2"/>
  <c r="F10" i="2"/>
  <c r="BK6" i="1"/>
  <c r="BH6" i="1"/>
  <c r="E6" i="1"/>
</calcChain>
</file>

<file path=xl/sharedStrings.xml><?xml version="1.0" encoding="utf-8"?>
<sst xmlns="http://schemas.openxmlformats.org/spreadsheetml/2006/main" count="343" uniqueCount="278">
  <si>
    <t>Citerne Carburant SITUATION DU 16-07-2026</t>
  </si>
  <si>
    <t>Poste de travail/ opération</t>
  </si>
  <si>
    <t>Débitage</t>
  </si>
  <si>
    <t>Corps citerne</t>
  </si>
  <si>
    <t>Etancheite interne + S2G</t>
  </si>
  <si>
    <t>Finition avant peinture</t>
  </si>
  <si>
    <t>Peinture</t>
  </si>
  <si>
    <t>Temps d'attente séchage epoxy interieur 8 jours</t>
  </si>
  <si>
    <t>Jaugeage</t>
  </si>
  <si>
    <t>Test hydraulique + Test skid + Test électrique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</si>
  <si>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</si>
  <si>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</si>
  <si>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</si>
  <si>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</si>
  <si>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</si>
  <si>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</si>
  <si>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</si>
  <si>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</si>
  <si>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</si>
  <si>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</si>
  <si>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Grenaillage</t>
  </si>
  <si>
    <t>Epoxy 200 externe</t>
  </si>
  <si>
    <t>Epoxy 280 externe</t>
  </si>
  <si>
    <t>Ponçage</t>
  </si>
  <si>
    <t>Primaire finiton Selemix</t>
  </si>
  <si>
    <t>Epoxy primaire intérieur</t>
  </si>
  <si>
    <t>Application Sika interieur</t>
  </si>
  <si>
    <t>Temps d'attente 48H</t>
  </si>
  <si>
    <t>Epoxy interieur carburant</t>
  </si>
  <si>
    <t>Montage Final</t>
  </si>
  <si>
    <t>Finiton Montage</t>
  </si>
  <si>
    <t xml:space="preserve">Test S2G </t>
  </si>
  <si>
    <t>Finition jaune</t>
  </si>
  <si>
    <t>Pochoir + vert</t>
  </si>
  <si>
    <t>Montage du Skid</t>
  </si>
  <si>
    <t>Fixation rouleau caouatchouc + Montage faux chassis</t>
  </si>
  <si>
    <t>Montage corbeau + platine</t>
  </si>
  <si>
    <t>Montage pare-choc + montage corps-citerne</t>
  </si>
  <si>
    <t>Pose de la porte du coffret pompage</t>
  </si>
  <si>
    <t>Passage tuyauterie hydraulique</t>
  </si>
  <si>
    <t>Échelle 1 &amp; Échelle 2</t>
  </si>
  <si>
    <t>Rambard</t>
  </si>
  <si>
    <t>Coffret hydraulique (côté droit)</t>
  </si>
  <si>
    <t>Coffret pompage / coffret outillage (eau)</t>
  </si>
  <si>
    <t>Support radiateur + support coffret extincteur</t>
  </si>
  <si>
    <t>Montage tuyauterie</t>
  </si>
  <si>
    <t>Support porte flexible</t>
  </si>
  <si>
    <t>Montage masse de conduite électrique</t>
  </si>
  <si>
    <t>Branchement électrique complet</t>
  </si>
  <si>
    <t>Connexion hydraulique</t>
  </si>
  <si>
    <t>Montage enrouleurs (Qté 2)</t>
  </si>
  <si>
    <t>Montage système roue de secours + essai + vérin</t>
  </si>
  <si>
    <t>Montage treuil</t>
  </si>
  <si>
    <t>Montage coffret extincteur</t>
  </si>
  <si>
    <t>Montage réservoir eau</t>
  </si>
  <si>
    <t>Montage Normec</t>
  </si>
  <si>
    <t>Montage pneumatique</t>
  </si>
  <si>
    <t xml:space="preserve"> préparation pour essais jaugeage</t>
  </si>
  <si>
    <t>Pose du Blackout</t>
  </si>
  <si>
    <t>Pose du troisième siège</t>
  </si>
  <si>
    <t>Montage ailes de roues + support escabeau</t>
  </si>
  <si>
    <t>Montage porte flexible droite et gauche</t>
  </si>
  <si>
    <t>Roue de secours</t>
  </si>
  <si>
    <t>Indicateur de niveau</t>
  </si>
  <si>
    <t>Cadence par heures</t>
  </si>
  <si>
    <t>CC01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</si>
  <si>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</si>
  <si>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</si>
  <si>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</si>
  <si>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</si>
  <si>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</si>
  <si>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</si>
  <si>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</si>
  <si>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</si>
  <si>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</si>
  <si>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FIN SECHAGE 19/07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</si>
  <si>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</si>
  <si>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</si>
  <si>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</si>
  <si>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</si>
  <si>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</si>
  <si>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</si>
  <si>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</si>
  <si>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</si>
  <si>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</si>
  <si>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</si>
  <si>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</si>
  <si>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</si>
  <si>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</si>
  <si>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</si>
  <si>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</si>
  <si>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</si>
  <si>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</si>
  <si>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</si>
  <si>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</si>
  <si>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</si>
  <si>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</si>
  <si>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</si>
  <si>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CC33</t>
  </si>
  <si>
    <t>CC34</t>
  </si>
  <si>
    <t>CC35</t>
  </si>
  <si>
    <t>CC36</t>
  </si>
  <si>
    <t>CC37</t>
  </si>
  <si>
    <t>CC38</t>
  </si>
  <si>
    <t>CC39</t>
  </si>
  <si>
    <t>CC40</t>
  </si>
  <si>
    <t>CC41</t>
  </si>
  <si>
    <t>CC42</t>
  </si>
  <si>
    <t>CC43</t>
  </si>
  <si>
    <t>CC44</t>
  </si>
  <si>
    <t>CC45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</si>
  <si>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</si>
  <si>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</si>
  <si>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</si>
  <si>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</si>
  <si>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</si>
  <si>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</si>
  <si>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</si>
  <si>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</si>
  <si>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</si>
  <si>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CC55</t>
  </si>
  <si>
    <t>CC56</t>
  </si>
  <si>
    <t>CC57</t>
  </si>
  <si>
    <t>CC58</t>
  </si>
  <si>
    <t>CC59</t>
  </si>
  <si>
    <t>CC60</t>
  </si>
  <si>
    <t>CC61</t>
  </si>
  <si>
    <t>CC62</t>
  </si>
  <si>
    <t>CC63</t>
  </si>
  <si>
    <t>CC64</t>
  </si>
  <si>
    <t>CC65</t>
  </si>
  <si>
    <t>CC66</t>
  </si>
  <si>
    <t>CC67</t>
  </si>
  <si>
    <t>CC68</t>
  </si>
  <si>
    <t>CC69</t>
  </si>
  <si>
    <t>CC70</t>
  </si>
  <si>
    <t>CC71</t>
  </si>
  <si>
    <t>CC72</t>
  </si>
  <si>
    <t>CC73</t>
  </si>
  <si>
    <t>CC74</t>
  </si>
  <si>
    <t>CC75</t>
  </si>
  <si>
    <t>CC76</t>
  </si>
  <si>
    <t>CC77</t>
  </si>
  <si>
    <t>CC78</t>
  </si>
  <si>
    <t>CC79</t>
  </si>
  <si>
    <t>CC80</t>
  </si>
  <si>
    <t>CC81</t>
  </si>
  <si>
    <t>CC82</t>
  </si>
  <si>
    <t>CC83</t>
  </si>
  <si>
    <t>CC84</t>
  </si>
  <si>
    <t>CC85</t>
  </si>
  <si>
    <t>CC86</t>
  </si>
  <si>
    <t>CC87</t>
  </si>
  <si>
    <t>CC88</t>
  </si>
  <si>
    <t>CC89</t>
  </si>
  <si>
    <t>CC90</t>
  </si>
  <si>
    <t>CC91</t>
  </si>
  <si>
    <t>CC92</t>
  </si>
  <si>
    <t>CC93</t>
  </si>
  <si>
    <t>CC94</t>
  </si>
  <si>
    <t>CC95</t>
  </si>
  <si>
    <t>CC96</t>
  </si>
  <si>
    <t>CC97</t>
  </si>
  <si>
    <t>CC98</t>
  </si>
  <si>
    <t>CC99</t>
  </si>
  <si>
    <t>CC100</t>
  </si>
  <si>
    <t>Citerne EAU  SITUATION DU 16-07-2026</t>
  </si>
  <si>
    <t xml:space="preserve">Etancheite interne </t>
  </si>
  <si>
    <t>Finition avant Galvanisation</t>
  </si>
  <si>
    <t>Galvanisation</t>
  </si>
  <si>
    <t>Corps citerne P11</t>
  </si>
  <si>
    <t>Finition apres galvanisation</t>
  </si>
  <si>
    <t>Temps d'attente séchage epoxy interieur 7 jours</t>
  </si>
  <si>
    <t>Test potabilité d'eau</t>
  </si>
  <si>
    <t>Test hydraulique + Test skid + Test électrique + Test S2G</t>
  </si>
  <si>
    <t>Epoxy interieur Alimentaire</t>
  </si>
  <si>
    <t>CE001</t>
  </si>
  <si>
    <t>CE002</t>
  </si>
  <si>
    <t>CE003</t>
  </si>
  <si>
    <t>Démontage validé</t>
  </si>
  <si>
    <t>CE004</t>
  </si>
  <si>
    <t>CE005</t>
  </si>
  <si>
    <t>CE006</t>
  </si>
  <si>
    <t>CE007</t>
  </si>
  <si>
    <t>CE008</t>
  </si>
  <si>
    <t>Démontage Validé</t>
  </si>
  <si>
    <t>CE009</t>
  </si>
  <si>
    <t>CE010</t>
  </si>
  <si>
    <t>CE011</t>
  </si>
  <si>
    <t>CE012</t>
  </si>
  <si>
    <t>CE013</t>
  </si>
  <si>
    <t>CE014</t>
  </si>
  <si>
    <t>CE015</t>
  </si>
  <si>
    <t>CE016</t>
  </si>
  <si>
    <t>CE017</t>
  </si>
  <si>
    <t>CE018</t>
  </si>
  <si>
    <t>CE019</t>
  </si>
  <si>
    <t>CE020</t>
  </si>
  <si>
    <t>CE021</t>
  </si>
  <si>
    <t>CE022</t>
  </si>
  <si>
    <t>CE023</t>
  </si>
  <si>
    <t>CE024</t>
  </si>
  <si>
    <t>CE025</t>
  </si>
  <si>
    <t>CE026</t>
  </si>
  <si>
    <t>CE027</t>
  </si>
  <si>
    <t>CE028</t>
  </si>
  <si>
    <t>CE029</t>
  </si>
  <si>
    <t>CE030</t>
  </si>
  <si>
    <t>CE031</t>
  </si>
  <si>
    <t>CE032</t>
  </si>
  <si>
    <t>CE033</t>
  </si>
  <si>
    <t>CE034</t>
  </si>
  <si>
    <t>CE035</t>
  </si>
  <si>
    <t>CE036</t>
  </si>
  <si>
    <t>CE037</t>
  </si>
  <si>
    <t>CE038</t>
  </si>
  <si>
    <t>CE039</t>
  </si>
  <si>
    <t>CE040</t>
  </si>
  <si>
    <t>CE041</t>
  </si>
  <si>
    <t>CE042</t>
  </si>
  <si>
    <t>CE043</t>
  </si>
  <si>
    <t>CE044</t>
  </si>
  <si>
    <t>CE045</t>
  </si>
  <si>
    <t>CE046</t>
  </si>
  <si>
    <t>CE047</t>
  </si>
  <si>
    <t>CE048</t>
  </si>
  <si>
    <t>CE049</t>
  </si>
  <si>
    <t>CE050</t>
  </si>
  <si>
    <t>CE051</t>
  </si>
  <si>
    <t>CE052</t>
  </si>
  <si>
    <t>CE053</t>
  </si>
  <si>
    <t>CE054</t>
  </si>
  <si>
    <t>CE055</t>
  </si>
  <si>
    <t>CE056</t>
  </si>
  <si>
    <t>CE057</t>
  </si>
  <si>
    <t>CE058</t>
  </si>
  <si>
    <t>CE059</t>
  </si>
  <si>
    <t>CE060</t>
  </si>
  <si>
    <t>CE061</t>
  </si>
  <si>
    <t>CE062</t>
  </si>
  <si>
    <t>CE063</t>
  </si>
  <si>
    <t>CE064</t>
  </si>
  <si>
    <t>CE065</t>
  </si>
  <si>
    <t>CE066</t>
  </si>
  <si>
    <t>CE067</t>
  </si>
  <si>
    <t>CE068</t>
  </si>
  <si>
    <t>CE069</t>
  </si>
  <si>
    <t>CE070</t>
  </si>
  <si>
    <t>CE071</t>
  </si>
  <si>
    <t>CE072</t>
  </si>
  <si>
    <t>CE073</t>
  </si>
  <si>
    <t>CE074</t>
  </si>
  <si>
    <t>CE075</t>
  </si>
  <si>
    <t>CE076</t>
  </si>
  <si>
    <t>CE077</t>
  </si>
  <si>
    <t>CE078</t>
  </si>
  <si>
    <t>CE079</t>
  </si>
  <si>
    <t>CE080</t>
  </si>
  <si>
    <t>CE081</t>
  </si>
  <si>
    <t>CE082</t>
  </si>
  <si>
    <t>CE083</t>
  </si>
  <si>
    <t>CE084</t>
  </si>
  <si>
    <t>CE085</t>
  </si>
  <si>
    <t>CE086</t>
  </si>
  <si>
    <t>CE087</t>
  </si>
  <si>
    <t>CE088</t>
  </si>
  <si>
    <t>CE089</t>
  </si>
  <si>
    <t>CE090</t>
  </si>
  <si>
    <t>CE091</t>
  </si>
  <si>
    <t>CE092</t>
  </si>
  <si>
    <t>CE093</t>
  </si>
  <si>
    <t>CE094</t>
  </si>
  <si>
    <t>CE095</t>
  </si>
  <si>
    <t>CE096</t>
  </si>
  <si>
    <t>CE097</t>
  </si>
  <si>
    <t>CE098</t>
  </si>
  <si>
    <t>CE099</t>
  </si>
  <si>
    <t>CE100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</si>
</sst>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8"/>
      <color theme="1"/>
      <name val="Aptos Narrow"/>
      <family val="2"/>
    </font>
    <font>
      <b/>
      <u/>
      <sz val="26"/>
      <color theme="0"/>
      <name val="Aptos Narrow"/>
      <family val="2"/>
    </font>
    <font>
      <sz val="11"/>
      <name val="Aptos Narrow"/>
      <family val="2"/>
    </font>
    <font>
      <sz val="18"/>
      <color theme="1"/>
      <name val="Arial"/>
      <family val="2"/>
    </font>
    <font>
      <b/>
      <u/>
      <sz val="24"/>
      <color theme="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9" fontId="1" fillId="3" borderId="26" xfId="0" applyNumberFormat="1" applyFont="1" applyFill="1" applyBorder="1" applyAlignment="1">
      <alignment horizontal="center" vertical="center"/>
    </xf>
    <xf numFmtId="9" fontId="1" fillId="3" borderId="27" xfId="0" applyNumberFormat="1" applyFont="1" applyFill="1" applyBorder="1" applyAlignment="1">
      <alignment horizontal="center" vertical="center"/>
    </xf>
    <xf numFmtId="9" fontId="1" fillId="3" borderId="28" xfId="0" applyNumberFormat="1" applyFont="1" applyFill="1" applyBorder="1" applyAlignment="1">
      <alignment horizontal="center" vertical="center"/>
    </xf>
    <xf numFmtId="9" fontId="1" fillId="3" borderId="25" xfId="0" applyNumberFormat="1" applyFont="1" applyFill="1" applyBorder="1" applyAlignment="1">
      <alignment horizontal="center" vertical="center"/>
    </xf>
    <xf numFmtId="9" fontId="1" fillId="3" borderId="25" xfId="0" applyNumberFormat="1" applyFont="1" applyFill="1" applyBorder="1" applyAlignment="1">
      <alignment horizontal="center" vertical="center" wrapText="1"/>
    </xf>
    <xf numFmtId="9" fontId="1" fillId="3" borderId="29" xfId="0" applyNumberFormat="1" applyFont="1" applyFill="1" applyBorder="1" applyAlignment="1">
      <alignment horizontal="center" vertical="center"/>
    </xf>
    <xf numFmtId="9" fontId="1" fillId="3" borderId="30" xfId="0" applyNumberFormat="1" applyFont="1" applyFill="1" applyBorder="1" applyAlignment="1">
      <alignment horizontal="center" vertical="center"/>
    </xf>
    <xf numFmtId="9" fontId="1" fillId="3" borderId="31" xfId="0" applyNumberFormat="1" applyFont="1" applyFill="1" applyBorder="1" applyAlignment="1">
      <alignment horizontal="center" vertical="center"/>
    </xf>
    <xf numFmtId="9" fontId="1" fillId="3" borderId="29" xfId="0" applyNumberFormat="1" applyFont="1" applyFill="1" applyBorder="1" applyAlignment="1">
      <alignment horizontal="center" vertical="center" wrapText="1"/>
    </xf>
    <xf numFmtId="9" fontId="1" fillId="3" borderId="30" xfId="0" applyNumberFormat="1" applyFont="1" applyFill="1" applyBorder="1" applyAlignment="1">
      <alignment horizontal="center" vertical="center" wrapText="1"/>
    </xf>
    <xf numFmtId="9" fontId="1" fillId="3" borderId="31" xfId="0" applyNumberFormat="1" applyFont="1" applyFill="1" applyBorder="1" applyAlignment="1">
      <alignment horizontal="center" vertical="center" wrapText="1"/>
    </xf>
    <xf numFmtId="9" fontId="1" fillId="0" borderId="30" xfId="0" applyNumberFormat="1" applyFont="1" applyBorder="1" applyAlignment="1">
      <alignment horizontal="center" vertical="center" wrapText="1"/>
    </xf>
    <xf numFmtId="9" fontId="1" fillId="0" borderId="31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9" fontId="1" fillId="0" borderId="25" xfId="0" applyNumberFormat="1" applyFont="1" applyBorder="1" applyAlignment="1">
      <alignment horizontal="center" vertical="center"/>
    </xf>
    <xf numFmtId="9" fontId="1" fillId="0" borderId="29" xfId="0" applyNumberFormat="1" applyFont="1" applyBorder="1" applyAlignment="1">
      <alignment horizontal="center" vertical="center" wrapText="1"/>
    </xf>
    <xf numFmtId="9" fontId="1" fillId="0" borderId="25" xfId="0" applyNumberFormat="1" applyFont="1" applyBorder="1" applyAlignment="1">
      <alignment horizontal="center" vertical="center" wrapText="1"/>
    </xf>
    <xf numFmtId="9" fontId="4" fillId="0" borderId="30" xfId="0" applyNumberFormat="1" applyFont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 wrapText="1"/>
    </xf>
    <xf numFmtId="9" fontId="4" fillId="3" borderId="30" xfId="0" applyNumberFormat="1" applyFont="1" applyFill="1" applyBorder="1" applyAlignment="1">
      <alignment horizontal="center" vertical="center" wrapText="1"/>
    </xf>
    <xf numFmtId="9" fontId="4" fillId="0" borderId="30" xfId="0" applyNumberFormat="1" applyFont="1" applyBorder="1" applyAlignment="1">
      <alignment horizontal="center" vertical="center"/>
    </xf>
    <xf numFmtId="9" fontId="1" fillId="0" borderId="30" xfId="0" applyNumberFormat="1" applyFont="1" applyBorder="1" applyAlignment="1">
      <alignment horizontal="center" vertical="center"/>
    </xf>
    <xf numFmtId="9" fontId="1" fillId="0" borderId="31" xfId="0" applyNumberFormat="1" applyFont="1" applyBorder="1" applyAlignment="1">
      <alignment horizontal="center" vertical="center"/>
    </xf>
    <xf numFmtId="9" fontId="1" fillId="0" borderId="29" xfId="0" applyNumberFormat="1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 wrapText="1"/>
    </xf>
    <xf numFmtId="9" fontId="1" fillId="0" borderId="13" xfId="0" applyNumberFormat="1" applyFont="1" applyBorder="1" applyAlignment="1">
      <alignment horizontal="center" vertical="center" wrapText="1"/>
    </xf>
    <xf numFmtId="9" fontId="1" fillId="0" borderId="14" xfId="0" applyNumberFormat="1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9" fontId="1" fillId="0" borderId="32" xfId="0" applyNumberFormat="1" applyFont="1" applyBorder="1" applyAlignment="1">
      <alignment horizontal="center" vertical="center"/>
    </xf>
    <xf numFmtId="9" fontId="1" fillId="0" borderId="33" xfId="0" applyNumberFormat="1" applyFont="1" applyBorder="1" applyAlignment="1">
      <alignment horizontal="center" vertical="center"/>
    </xf>
    <xf numFmtId="9" fontId="1" fillId="0" borderId="34" xfId="0" applyNumberFormat="1" applyFont="1" applyBorder="1" applyAlignment="1">
      <alignment horizontal="center" vertical="center"/>
    </xf>
    <xf numFmtId="9" fontId="1" fillId="0" borderId="32" xfId="0" applyNumberFormat="1" applyFont="1" applyBorder="1" applyAlignment="1">
      <alignment horizontal="center" vertical="center" wrapText="1"/>
    </xf>
    <xf numFmtId="9" fontId="1" fillId="0" borderId="33" xfId="0" applyNumberFormat="1" applyFont="1" applyBorder="1" applyAlignment="1">
      <alignment horizontal="center" vertical="center" wrapText="1"/>
    </xf>
    <xf numFmtId="9" fontId="1" fillId="0" borderId="34" xfId="0" applyNumberFormat="1" applyFont="1" applyBorder="1" applyAlignment="1">
      <alignment horizontal="center" vertical="center" wrapText="1"/>
    </xf>
    <xf numFmtId="9" fontId="1" fillId="0" borderId="3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9" fontId="1" fillId="0" borderId="18" xfId="0" applyNumberFormat="1" applyFont="1" applyBorder="1" applyAlignment="1">
      <alignment horizontal="center" vertical="center"/>
    </xf>
    <xf numFmtId="9" fontId="1" fillId="0" borderId="36" xfId="0" applyNumberFormat="1" applyFont="1" applyBorder="1" applyAlignment="1">
      <alignment horizontal="center" vertical="center"/>
    </xf>
    <xf numFmtId="9" fontId="1" fillId="0" borderId="37" xfId="0" applyNumberFormat="1" applyFont="1" applyBorder="1" applyAlignment="1">
      <alignment horizontal="center" vertical="center"/>
    </xf>
    <xf numFmtId="9" fontId="1" fillId="0" borderId="38" xfId="0" applyNumberFormat="1" applyFont="1" applyBorder="1" applyAlignment="1">
      <alignment horizontal="center" vertical="center"/>
    </xf>
    <xf numFmtId="9" fontId="1" fillId="0" borderId="39" xfId="0" applyNumberFormat="1" applyFont="1" applyBorder="1" applyAlignment="1">
      <alignment horizontal="center" vertical="center" wrapText="1"/>
    </xf>
    <xf numFmtId="9" fontId="1" fillId="0" borderId="40" xfId="0" applyNumberFormat="1" applyFont="1" applyBorder="1" applyAlignment="1">
      <alignment horizontal="center" vertical="center" wrapText="1"/>
    </xf>
    <xf numFmtId="9" fontId="1" fillId="0" borderId="41" xfId="0" applyNumberFormat="1" applyFont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/>
    </xf>
    <xf numFmtId="16" fontId="1" fillId="0" borderId="25" xfId="0" applyNumberFormat="1" applyFont="1" applyBorder="1" applyAlignment="1">
      <alignment horizontal="center" vertical="center" wrapText="1"/>
    </xf>
    <xf numFmtId="9" fontId="4" fillId="0" borderId="25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1" fillId="6" borderId="31" xfId="0" applyNumberFormat="1" applyFont="1" applyFill="1" applyBorder="1" applyAlignment="1">
      <alignment horizontal="center" vertical="center" wrapText="1"/>
    </xf>
    <xf numFmtId="9" fontId="1" fillId="7" borderId="31" xfId="0" applyNumberFormat="1" applyFont="1" applyFill="1" applyBorder="1" applyAlignment="1">
      <alignment horizontal="center" vertical="center" wrapText="1"/>
    </xf>
    <xf numFmtId="9" fontId="4" fillId="0" borderId="3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8" xfId="0" applyFont="1" applyBorder="1"/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0" xfId="0" applyFont="1" applyBorder="1"/>
    <xf numFmtId="0" fontId="1" fillId="0" borderId="12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9" xfId="0" applyFont="1" applyBorder="1"/>
    <xf numFmtId="0" fontId="1" fillId="0" borderId="13" xfId="0" applyFont="1" applyBorder="1" applyAlignment="1">
      <alignment horizontal="center" vertical="center"/>
    </xf>
    <xf numFmtId="0" fontId="3" fillId="0" borderId="16" xfId="0" applyFont="1" applyBorder="1"/>
    <xf numFmtId="0" fontId="3" fillId="0" borderId="20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14" xfId="0" applyFont="1" applyBorder="1" applyAlignment="1">
      <alignment horizontal="center" vertical="center"/>
    </xf>
    <xf numFmtId="0" fontId="3" fillId="0" borderId="17" xfId="0" applyFont="1" applyBorder="1"/>
    <xf numFmtId="0" fontId="3" fillId="0" borderId="21" xfId="0" applyFont="1" applyBorder="1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1" fillId="0" borderId="0" xfId="0" applyFont="1" applyAlignment="1">
      <alignment horizontal="right" vertical="center" wrapText="1"/>
    </xf>
    <xf numFmtId="0" fontId="4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996"/>
  <sheetViews>
    <sheetView zoomScale="32" zoomScaleNormal="32" workbookViewId="0">
      <pane xSplit="4" ySplit="5" topLeftCell="Y10" activePane="bottomRight" state="frozen"/>
      <selection pane="topRight" activeCell="E1" sqref="E1"/>
      <selection pane="bottomLeft" activeCell="A6" sqref="A6"/>
      <selection pane="bottomRight" activeCell="AC19" sqref="AC19"/>
    </sheetView>
  </sheetViews>
  <sheetFormatPr defaultColWidth="12.6328125" defaultRowHeight="15" customHeight="1" x14ac:dyDescent="0.35"/>
  <cols>
    <col min="1" max="2" width="0.36328125" customWidth="1"/>
    <col min="3" max="3" width="15.08984375" customWidth="1"/>
    <col min="4" max="4" width="17.453125" customWidth="1"/>
    <col min="5" max="5" width="16.36328125" customWidth="1"/>
    <col min="6" max="7" width="11" customWidth="1"/>
    <col min="8" max="15" width="8.453125" customWidth="1"/>
    <col min="16" max="18" width="14.08984375" customWidth="1"/>
    <col min="19" max="20" width="11.08984375" customWidth="1"/>
    <col min="21" max="21" width="13.453125" customWidth="1"/>
    <col min="22" max="24" width="12.90625" customWidth="1"/>
    <col min="25" max="25" width="16.26953125" customWidth="1"/>
    <col min="26" max="27" width="11.08984375" customWidth="1"/>
    <col min="28" max="28" width="13.08984375" customWidth="1"/>
    <col min="29" max="29" width="16.26953125" customWidth="1"/>
    <col min="30" max="30" width="13.7265625" customWidth="1"/>
    <col min="31" max="31" width="18.26953125" customWidth="1"/>
    <col min="32" max="35" width="12" customWidth="1"/>
    <col min="36" max="43" width="14" customWidth="1"/>
    <col min="44" max="59" width="12" customWidth="1"/>
    <col min="60" max="61" width="11" customWidth="1"/>
    <col min="62" max="62" width="14.6328125" customWidth="1"/>
    <col min="63" max="63" width="16.36328125" customWidth="1"/>
  </cols>
  <sheetData>
    <row r="1" spans="1:63" ht="37.5" customHeight="1" x14ac:dyDescent="0.35">
      <c r="A1" s="1"/>
      <c r="B1" s="1"/>
      <c r="C1" s="2"/>
      <c r="D1" s="1"/>
      <c r="E1" s="94" t="s">
        <v>0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7"/>
      <c r="BK1" s="3"/>
    </row>
    <row r="2" spans="1:63" ht="55.5" customHeight="1" x14ac:dyDescent="0.35">
      <c r="A2" s="1"/>
      <c r="B2" s="1"/>
      <c r="C2" s="2"/>
      <c r="D2" s="68" t="s">
        <v>1</v>
      </c>
      <c r="E2" s="88" t="s">
        <v>2</v>
      </c>
      <c r="F2" s="89" t="s">
        <v>3</v>
      </c>
      <c r="G2" s="90"/>
      <c r="H2" s="90"/>
      <c r="I2" s="90"/>
      <c r="J2" s="90"/>
      <c r="K2" s="90"/>
      <c r="L2" s="90"/>
      <c r="M2" s="90"/>
      <c r="N2" s="90"/>
      <c r="O2" s="91"/>
      <c r="P2" s="68" t="s">
        <v>4</v>
      </c>
      <c r="Q2" s="68" t="s">
        <v>5</v>
      </c>
      <c r="R2" s="71" t="s">
        <v>6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3"/>
      <c r="AD2" s="71" t="s">
        <v>7</v>
      </c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3"/>
      <c r="BJ2" s="68" t="s">
        <v>8</v>
      </c>
      <c r="BK2" s="68" t="s">
        <v>9</v>
      </c>
    </row>
    <row r="3" spans="1:63" ht="49.5" customHeight="1" x14ac:dyDescent="0.35">
      <c r="A3" s="1"/>
      <c r="B3" s="1"/>
      <c r="C3" s="2"/>
      <c r="D3" s="69"/>
      <c r="E3" s="69"/>
      <c r="F3" s="74" t="s">
        <v>10</v>
      </c>
      <c r="G3" s="77" t="s">
        <v>11</v>
      </c>
      <c r="H3" s="77" t="s">
        <v>12</v>
      </c>
      <c r="I3" s="77" t="s">
        <v>13</v>
      </c>
      <c r="J3" s="77" t="s">
        <v>14</v>
      </c>
      <c r="K3" s="77" t="s">
        <v>15</v>
      </c>
      <c r="L3" s="93" t="s">
        <v>16</v>
      </c>
      <c r="M3" s="77" t="s">
        <v>17</v>
      </c>
      <c r="N3" s="77" t="s">
        <v>18</v>
      </c>
      <c r="O3" s="82" t="s">
        <v>19</v>
      </c>
      <c r="P3" s="69"/>
      <c r="Q3" s="69"/>
      <c r="R3" s="68" t="s">
        <v>20</v>
      </c>
      <c r="S3" s="68" t="s">
        <v>21</v>
      </c>
      <c r="T3" s="68" t="s">
        <v>22</v>
      </c>
      <c r="U3" s="68" t="s">
        <v>23</v>
      </c>
      <c r="V3" s="68" t="s">
        <v>24</v>
      </c>
      <c r="W3" s="68" t="s">
        <v>25</v>
      </c>
      <c r="X3" s="68" t="s">
        <v>25</v>
      </c>
      <c r="Y3" s="68" t="s">
        <v>26</v>
      </c>
      <c r="Z3" s="71" t="s">
        <v>27</v>
      </c>
      <c r="AA3" s="73"/>
      <c r="AB3" s="95" t="s">
        <v>28</v>
      </c>
      <c r="AC3" s="95" t="s">
        <v>28</v>
      </c>
      <c r="AD3" s="71" t="s">
        <v>29</v>
      </c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3"/>
      <c r="BH3" s="68" t="s">
        <v>30</v>
      </c>
      <c r="BI3" s="68" t="s">
        <v>31</v>
      </c>
      <c r="BJ3" s="69"/>
      <c r="BK3" s="69"/>
    </row>
    <row r="4" spans="1:63" ht="30.75" customHeight="1" x14ac:dyDescent="0.35">
      <c r="A4" s="1"/>
      <c r="B4" s="1"/>
      <c r="C4" s="2"/>
      <c r="D4" s="69"/>
      <c r="E4" s="69"/>
      <c r="F4" s="75"/>
      <c r="G4" s="78"/>
      <c r="H4" s="78"/>
      <c r="I4" s="78"/>
      <c r="J4" s="78"/>
      <c r="K4" s="78"/>
      <c r="L4" s="78"/>
      <c r="M4" s="78"/>
      <c r="N4" s="78"/>
      <c r="O4" s="83"/>
      <c r="P4" s="69"/>
      <c r="Q4" s="69"/>
      <c r="R4" s="69"/>
      <c r="S4" s="69"/>
      <c r="T4" s="69"/>
      <c r="U4" s="69"/>
      <c r="V4" s="69"/>
      <c r="W4" s="69"/>
      <c r="X4" s="69"/>
      <c r="Y4" s="69"/>
      <c r="Z4" s="68" t="s">
        <v>32</v>
      </c>
      <c r="AA4" s="68" t="s">
        <v>33</v>
      </c>
      <c r="AB4" s="69"/>
      <c r="AC4" s="69"/>
      <c r="AD4" s="71" t="s">
        <v>10</v>
      </c>
      <c r="AE4" s="72"/>
      <c r="AF4" s="72"/>
      <c r="AG4" s="72"/>
      <c r="AH4" s="72"/>
      <c r="AI4" s="73"/>
      <c r="AJ4" s="71" t="s">
        <v>11</v>
      </c>
      <c r="AK4" s="72"/>
      <c r="AL4" s="72"/>
      <c r="AM4" s="72"/>
      <c r="AN4" s="72"/>
      <c r="AO4" s="72"/>
      <c r="AP4" s="72"/>
      <c r="AQ4" s="73"/>
      <c r="AR4" s="71" t="s">
        <v>12</v>
      </c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3"/>
      <c r="BE4" s="71" t="s">
        <v>13</v>
      </c>
      <c r="BF4" s="72"/>
      <c r="BG4" s="73"/>
      <c r="BH4" s="69"/>
      <c r="BI4" s="69"/>
      <c r="BJ4" s="69"/>
      <c r="BK4" s="69"/>
    </row>
    <row r="5" spans="1:63" ht="162.5" customHeight="1" x14ac:dyDescent="0.35">
      <c r="A5" s="1"/>
      <c r="B5" s="1"/>
      <c r="C5" s="2"/>
      <c r="D5" s="70"/>
      <c r="E5" s="7"/>
      <c r="F5" s="76"/>
      <c r="G5" s="79"/>
      <c r="H5" s="79"/>
      <c r="I5" s="79"/>
      <c r="J5" s="79"/>
      <c r="K5" s="79"/>
      <c r="L5" s="79"/>
      <c r="M5" s="79"/>
      <c r="N5" s="79"/>
      <c r="O5" s="84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8" t="s">
        <v>34</v>
      </c>
      <c r="AE5" s="9" t="s">
        <v>35</v>
      </c>
      <c r="AF5" s="9" t="s">
        <v>36</v>
      </c>
      <c r="AG5" s="9" t="s">
        <v>37</v>
      </c>
      <c r="AH5" s="9" t="s">
        <v>38</v>
      </c>
      <c r="AI5" s="10" t="s">
        <v>39</v>
      </c>
      <c r="AJ5" s="4" t="s">
        <v>40</v>
      </c>
      <c r="AK5" s="4" t="s">
        <v>41</v>
      </c>
      <c r="AL5" s="4" t="s">
        <v>42</v>
      </c>
      <c r="AM5" s="4" t="s">
        <v>43</v>
      </c>
      <c r="AN5" s="4" t="s">
        <v>44</v>
      </c>
      <c r="AO5" s="4" t="s">
        <v>45</v>
      </c>
      <c r="AP5" s="4" t="s">
        <v>46</v>
      </c>
      <c r="AQ5" s="6" t="s">
        <v>47</v>
      </c>
      <c r="AR5" s="4" t="s">
        <v>48</v>
      </c>
      <c r="AS5" s="4" t="s">
        <v>49</v>
      </c>
      <c r="AT5" s="6" t="s">
        <v>50</v>
      </c>
      <c r="AU5" s="6" t="s">
        <v>51</v>
      </c>
      <c r="AV5" s="4" t="s">
        <v>52</v>
      </c>
      <c r="AW5" s="4" t="s">
        <v>53</v>
      </c>
      <c r="AX5" s="6" t="s">
        <v>54</v>
      </c>
      <c r="AY5" s="4" t="s">
        <v>55</v>
      </c>
      <c r="AZ5" s="6" t="s">
        <v>56</v>
      </c>
      <c r="BA5" s="6" t="s">
        <v>57</v>
      </c>
      <c r="BB5" s="4" t="s">
        <v>58</v>
      </c>
      <c r="BC5" s="4" t="s">
        <v>59</v>
      </c>
      <c r="BD5" s="4" t="s">
        <v>60</v>
      </c>
      <c r="BE5" s="4" t="s">
        <v>61</v>
      </c>
      <c r="BF5" s="4" t="s">
        <v>62</v>
      </c>
      <c r="BG5" s="4" t="s">
        <v>63</v>
      </c>
      <c r="BH5" s="70"/>
      <c r="BI5" s="70"/>
      <c r="BJ5" s="70"/>
      <c r="BK5" s="70"/>
    </row>
    <row r="6" spans="1:63" ht="68.25" customHeight="1" x14ac:dyDescent="0.35">
      <c r="A6" s="1"/>
      <c r="B6" s="1"/>
      <c r="C6" s="2"/>
      <c r="D6" s="11" t="s">
        <v>64</v>
      </c>
      <c r="E6" s="12">
        <f>2.5*9*2</f>
        <v>45</v>
      </c>
      <c r="F6" s="13">
        <v>4.5</v>
      </c>
      <c r="G6" s="14">
        <v>9</v>
      </c>
      <c r="H6" s="14">
        <v>4.5</v>
      </c>
      <c r="I6" s="14">
        <v>9</v>
      </c>
      <c r="J6" s="14">
        <v>11.5</v>
      </c>
      <c r="K6" s="14">
        <v>12</v>
      </c>
      <c r="L6" s="14">
        <v>11.5</v>
      </c>
      <c r="M6" s="14">
        <v>4.5</v>
      </c>
      <c r="N6" s="14">
        <v>4.5</v>
      </c>
      <c r="O6" s="15">
        <v>9</v>
      </c>
      <c r="P6" s="5">
        <v>24</v>
      </c>
      <c r="Q6" s="4">
        <v>9</v>
      </c>
      <c r="R6" s="4">
        <v>8</v>
      </c>
      <c r="S6" s="4">
        <v>4</v>
      </c>
      <c r="T6" s="4">
        <v>4</v>
      </c>
      <c r="U6" s="4">
        <v>9</v>
      </c>
      <c r="V6" s="4">
        <v>2.5</v>
      </c>
      <c r="W6" s="4">
        <v>9.5</v>
      </c>
      <c r="X6" s="4">
        <v>9.5</v>
      </c>
      <c r="Y6" s="4">
        <v>1.5</v>
      </c>
      <c r="Z6" s="4">
        <v>13</v>
      </c>
      <c r="AA6" s="4">
        <v>17</v>
      </c>
      <c r="AB6" s="4">
        <v>10</v>
      </c>
      <c r="AC6" s="4">
        <v>10</v>
      </c>
      <c r="AD6" s="71">
        <v>9</v>
      </c>
      <c r="AE6" s="72"/>
      <c r="AF6" s="72"/>
      <c r="AG6" s="72"/>
      <c r="AH6" s="72"/>
      <c r="AI6" s="73"/>
      <c r="AJ6" s="71">
        <v>9</v>
      </c>
      <c r="AK6" s="72"/>
      <c r="AL6" s="72"/>
      <c r="AM6" s="72"/>
      <c r="AN6" s="72"/>
      <c r="AO6" s="72"/>
      <c r="AP6" s="72"/>
      <c r="AQ6" s="73"/>
      <c r="AR6" s="71">
        <v>12</v>
      </c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  <c r="BE6" s="71">
        <v>4</v>
      </c>
      <c r="BF6" s="72"/>
      <c r="BG6" s="73"/>
      <c r="BH6" s="4">
        <f>1.5*9</f>
        <v>13.5</v>
      </c>
      <c r="BI6" s="4">
        <v>4.5</v>
      </c>
      <c r="BJ6" s="4">
        <v>9</v>
      </c>
      <c r="BK6" s="4">
        <f>3*9</f>
        <v>27</v>
      </c>
    </row>
    <row r="7" spans="1:63" ht="39" customHeight="1" x14ac:dyDescent="0.35">
      <c r="A7" s="1"/>
      <c r="B7" s="1"/>
      <c r="C7" s="2"/>
      <c r="D7" s="16" t="s">
        <v>65</v>
      </c>
      <c r="E7" s="17">
        <v>1</v>
      </c>
      <c r="F7" s="17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9">
        <v>1</v>
      </c>
      <c r="P7" s="20">
        <v>1</v>
      </c>
      <c r="Q7" s="21">
        <v>1</v>
      </c>
      <c r="R7" s="17">
        <v>1</v>
      </c>
      <c r="S7" s="18">
        <v>1</v>
      </c>
      <c r="T7" s="18">
        <v>1</v>
      </c>
      <c r="U7" s="18">
        <v>1</v>
      </c>
      <c r="V7" s="18">
        <v>1</v>
      </c>
      <c r="W7" s="18">
        <v>1</v>
      </c>
      <c r="X7" s="18">
        <v>1</v>
      </c>
      <c r="Y7" s="18">
        <v>1</v>
      </c>
      <c r="Z7" s="18">
        <v>1</v>
      </c>
      <c r="AA7" s="18">
        <v>1</v>
      </c>
      <c r="AB7" s="18">
        <v>1</v>
      </c>
      <c r="AC7" s="19">
        <v>1</v>
      </c>
      <c r="AD7" s="17">
        <v>1</v>
      </c>
      <c r="AE7" s="18">
        <v>1</v>
      </c>
      <c r="AF7" s="18">
        <v>1</v>
      </c>
      <c r="AG7" s="18">
        <v>1</v>
      </c>
      <c r="AH7" s="18">
        <v>1</v>
      </c>
      <c r="AI7" s="19">
        <v>1</v>
      </c>
      <c r="AJ7" s="17">
        <v>1</v>
      </c>
      <c r="AK7" s="18">
        <v>1</v>
      </c>
      <c r="AL7" s="18">
        <v>1</v>
      </c>
      <c r="AM7" s="18">
        <v>1</v>
      </c>
      <c r="AN7" s="18">
        <v>1</v>
      </c>
      <c r="AO7" s="18">
        <v>1</v>
      </c>
      <c r="AP7" s="18">
        <v>1</v>
      </c>
      <c r="AQ7" s="19">
        <v>1</v>
      </c>
      <c r="AR7" s="17">
        <v>1</v>
      </c>
      <c r="AS7" s="18">
        <v>1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18">
        <v>1</v>
      </c>
      <c r="AZ7" s="18">
        <v>1</v>
      </c>
      <c r="BA7" s="18">
        <v>1</v>
      </c>
      <c r="BB7" s="18">
        <v>1</v>
      </c>
      <c r="BC7" s="18">
        <v>1</v>
      </c>
      <c r="BD7" s="19">
        <v>1</v>
      </c>
      <c r="BE7" s="17">
        <v>1</v>
      </c>
      <c r="BF7" s="18">
        <v>1</v>
      </c>
      <c r="BG7" s="19">
        <v>1</v>
      </c>
      <c r="BH7" s="21">
        <v>1</v>
      </c>
      <c r="BI7" s="21">
        <v>1</v>
      </c>
      <c r="BJ7" s="21">
        <v>1</v>
      </c>
      <c r="BK7" s="21">
        <v>1</v>
      </c>
    </row>
    <row r="8" spans="1:63" ht="39" customHeight="1" x14ac:dyDescent="0.35">
      <c r="A8" s="1"/>
      <c r="B8" s="1"/>
      <c r="C8" s="2"/>
      <c r="D8" s="16" t="s">
        <v>66</v>
      </c>
      <c r="E8" s="22">
        <v>1</v>
      </c>
      <c r="F8" s="22">
        <v>1</v>
      </c>
      <c r="G8" s="18">
        <v>1</v>
      </c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4">
        <v>1</v>
      </c>
      <c r="P8" s="20">
        <v>1</v>
      </c>
      <c r="Q8" s="21">
        <v>1</v>
      </c>
      <c r="R8" s="22">
        <v>1</v>
      </c>
      <c r="S8" s="18">
        <v>1</v>
      </c>
      <c r="T8" s="23">
        <v>1</v>
      </c>
      <c r="U8" s="23">
        <v>1</v>
      </c>
      <c r="V8" s="23">
        <v>1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B8" s="23">
        <v>1</v>
      </c>
      <c r="AC8" s="24">
        <v>1</v>
      </c>
      <c r="AD8" s="22">
        <v>1</v>
      </c>
      <c r="AE8" s="18">
        <v>1</v>
      </c>
      <c r="AF8" s="23">
        <v>1</v>
      </c>
      <c r="AG8" s="23">
        <v>1</v>
      </c>
      <c r="AH8" s="23">
        <v>1</v>
      </c>
      <c r="AI8" s="24">
        <v>1</v>
      </c>
      <c r="AJ8" s="22">
        <v>1</v>
      </c>
      <c r="AK8" s="18">
        <v>1</v>
      </c>
      <c r="AL8" s="23">
        <v>1</v>
      </c>
      <c r="AM8" s="23">
        <v>1</v>
      </c>
      <c r="AN8" s="23">
        <v>1</v>
      </c>
      <c r="AO8" s="23">
        <v>1</v>
      </c>
      <c r="AP8" s="23">
        <v>1</v>
      </c>
      <c r="AQ8" s="24">
        <v>1</v>
      </c>
      <c r="AR8" s="22">
        <v>1</v>
      </c>
      <c r="AS8" s="18">
        <v>1</v>
      </c>
      <c r="AT8" s="23">
        <v>1</v>
      </c>
      <c r="AU8" s="23">
        <v>1</v>
      </c>
      <c r="AV8" s="23">
        <v>1</v>
      </c>
      <c r="AW8" s="23">
        <v>1</v>
      </c>
      <c r="AX8" s="23">
        <v>1</v>
      </c>
      <c r="AY8" s="23">
        <v>1</v>
      </c>
      <c r="AZ8" s="23">
        <v>1</v>
      </c>
      <c r="BA8" s="23">
        <v>1</v>
      </c>
      <c r="BB8" s="23">
        <v>1</v>
      </c>
      <c r="BC8" s="23">
        <v>1</v>
      </c>
      <c r="BD8" s="24">
        <v>1</v>
      </c>
      <c r="BE8" s="22">
        <v>1</v>
      </c>
      <c r="BF8" s="18">
        <v>1</v>
      </c>
      <c r="BG8" s="24">
        <v>1</v>
      </c>
      <c r="BH8" s="21">
        <v>1</v>
      </c>
      <c r="BI8" s="21">
        <v>1</v>
      </c>
      <c r="BJ8" s="21">
        <v>1</v>
      </c>
      <c r="BK8" s="21">
        <v>1</v>
      </c>
    </row>
    <row r="9" spans="1:63" ht="39" customHeight="1" x14ac:dyDescent="0.35">
      <c r="A9" s="1"/>
      <c r="B9" s="1"/>
      <c r="C9" s="2"/>
      <c r="D9" s="16" t="s">
        <v>67</v>
      </c>
      <c r="E9" s="22">
        <v>1</v>
      </c>
      <c r="F9" s="22">
        <v>1</v>
      </c>
      <c r="G9" s="18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4">
        <v>1</v>
      </c>
      <c r="P9" s="20">
        <v>1</v>
      </c>
      <c r="Q9" s="21">
        <v>1</v>
      </c>
      <c r="R9" s="22">
        <v>1</v>
      </c>
      <c r="S9" s="18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4">
        <v>1</v>
      </c>
      <c r="AD9" s="22">
        <v>1</v>
      </c>
      <c r="AE9" s="18">
        <v>1</v>
      </c>
      <c r="AF9" s="23">
        <v>1</v>
      </c>
      <c r="AG9" s="23">
        <v>1</v>
      </c>
      <c r="AH9" s="23">
        <v>1</v>
      </c>
      <c r="AI9" s="24">
        <v>1</v>
      </c>
      <c r="AJ9" s="22">
        <v>1</v>
      </c>
      <c r="AK9" s="18">
        <v>1</v>
      </c>
      <c r="AL9" s="23">
        <v>1</v>
      </c>
      <c r="AM9" s="23">
        <v>1</v>
      </c>
      <c r="AN9" s="23">
        <v>1</v>
      </c>
      <c r="AO9" s="23">
        <v>1</v>
      </c>
      <c r="AP9" s="23">
        <v>1</v>
      </c>
      <c r="AQ9" s="24">
        <v>1</v>
      </c>
      <c r="AR9" s="22">
        <v>1</v>
      </c>
      <c r="AS9" s="18">
        <v>1</v>
      </c>
      <c r="AT9" s="23">
        <v>1</v>
      </c>
      <c r="AU9" s="23">
        <v>1</v>
      </c>
      <c r="AV9" s="23">
        <v>1</v>
      </c>
      <c r="AW9" s="23">
        <v>1</v>
      </c>
      <c r="AX9" s="23">
        <v>1</v>
      </c>
      <c r="AY9" s="23">
        <v>1</v>
      </c>
      <c r="AZ9" s="23">
        <v>1</v>
      </c>
      <c r="BA9" s="23">
        <v>1</v>
      </c>
      <c r="BB9" s="23">
        <v>1</v>
      </c>
      <c r="BC9" s="23">
        <v>1</v>
      </c>
      <c r="BD9" s="24">
        <v>1</v>
      </c>
      <c r="BE9" s="22">
        <v>1</v>
      </c>
      <c r="BF9" s="18">
        <v>1</v>
      </c>
      <c r="BG9" s="24">
        <v>1</v>
      </c>
      <c r="BH9" s="21">
        <v>1</v>
      </c>
      <c r="BI9" s="21">
        <v>1</v>
      </c>
      <c r="BJ9" s="21">
        <v>1</v>
      </c>
      <c r="BK9" s="21">
        <v>1</v>
      </c>
    </row>
    <row r="10" spans="1:63" ht="39" customHeight="1" x14ac:dyDescent="0.35">
      <c r="A10" s="1"/>
      <c r="B10" s="1"/>
      <c r="C10" s="2"/>
      <c r="D10" s="16" t="s">
        <v>68</v>
      </c>
      <c r="E10" s="22">
        <v>1</v>
      </c>
      <c r="F10" s="22">
        <v>1</v>
      </c>
      <c r="G10" s="18">
        <v>1</v>
      </c>
      <c r="H10" s="23">
        <v>1</v>
      </c>
      <c r="I10" s="23">
        <v>1</v>
      </c>
      <c r="J10" s="23">
        <v>1</v>
      </c>
      <c r="K10" s="23">
        <v>1</v>
      </c>
      <c r="L10" s="23">
        <v>1</v>
      </c>
      <c r="M10" s="23">
        <v>1</v>
      </c>
      <c r="N10" s="23">
        <v>1</v>
      </c>
      <c r="O10" s="24">
        <v>1</v>
      </c>
      <c r="P10" s="20">
        <v>1</v>
      </c>
      <c r="Q10" s="21">
        <v>1</v>
      </c>
      <c r="R10" s="22">
        <v>1</v>
      </c>
      <c r="S10" s="18">
        <v>1</v>
      </c>
      <c r="T10" s="23">
        <v>1</v>
      </c>
      <c r="U10" s="23">
        <v>1</v>
      </c>
      <c r="V10" s="23">
        <v>1</v>
      </c>
      <c r="W10" s="23">
        <v>1</v>
      </c>
      <c r="X10" s="23">
        <v>1</v>
      </c>
      <c r="Y10" s="23">
        <v>1</v>
      </c>
      <c r="Z10" s="23">
        <v>1</v>
      </c>
      <c r="AA10" s="23">
        <v>1</v>
      </c>
      <c r="AB10" s="23">
        <v>1</v>
      </c>
      <c r="AC10" s="24">
        <v>1</v>
      </c>
      <c r="AD10" s="22">
        <v>1</v>
      </c>
      <c r="AE10" s="18">
        <v>1</v>
      </c>
      <c r="AF10" s="23">
        <v>1</v>
      </c>
      <c r="AG10" s="23">
        <v>1</v>
      </c>
      <c r="AH10" s="23">
        <v>1</v>
      </c>
      <c r="AI10" s="24">
        <v>1</v>
      </c>
      <c r="AJ10" s="22">
        <v>1</v>
      </c>
      <c r="AK10" s="18">
        <v>1</v>
      </c>
      <c r="AL10" s="23">
        <v>1</v>
      </c>
      <c r="AM10" s="23">
        <v>1</v>
      </c>
      <c r="AN10" s="23">
        <v>1</v>
      </c>
      <c r="AO10" s="23">
        <v>1</v>
      </c>
      <c r="AP10" s="23">
        <v>1</v>
      </c>
      <c r="AQ10" s="24">
        <v>1</v>
      </c>
      <c r="AR10" s="22">
        <v>1</v>
      </c>
      <c r="AS10" s="18">
        <v>1</v>
      </c>
      <c r="AT10" s="23">
        <v>1</v>
      </c>
      <c r="AU10" s="23">
        <v>1</v>
      </c>
      <c r="AV10" s="23">
        <v>1</v>
      </c>
      <c r="AW10" s="23">
        <v>1</v>
      </c>
      <c r="AX10" s="23">
        <v>1</v>
      </c>
      <c r="AY10" s="23">
        <v>1</v>
      </c>
      <c r="AZ10" s="23">
        <v>1</v>
      </c>
      <c r="BA10" s="23">
        <v>1</v>
      </c>
      <c r="BB10" s="23">
        <v>1</v>
      </c>
      <c r="BC10" s="23">
        <v>1</v>
      </c>
      <c r="BD10" s="24">
        <v>1</v>
      </c>
      <c r="BE10" s="22">
        <v>1</v>
      </c>
      <c r="BF10" s="18">
        <v>1</v>
      </c>
      <c r="BG10" s="24">
        <v>1</v>
      </c>
      <c r="BH10" s="21">
        <v>1</v>
      </c>
      <c r="BI10" s="21">
        <v>1</v>
      </c>
      <c r="BJ10" s="21">
        <v>1</v>
      </c>
      <c r="BK10" s="21">
        <v>1</v>
      </c>
    </row>
    <row r="11" spans="1:63" ht="39" customHeight="1" x14ac:dyDescent="0.35">
      <c r="A11" s="1"/>
      <c r="B11" s="1"/>
      <c r="C11" s="2"/>
      <c r="D11" s="16" t="s">
        <v>69</v>
      </c>
      <c r="E11" s="22">
        <v>1</v>
      </c>
      <c r="F11" s="22">
        <v>1</v>
      </c>
      <c r="G11" s="18">
        <v>1</v>
      </c>
      <c r="H11" s="23">
        <v>1</v>
      </c>
      <c r="I11" s="23">
        <v>1</v>
      </c>
      <c r="J11" s="23">
        <v>1</v>
      </c>
      <c r="K11" s="23">
        <v>1</v>
      </c>
      <c r="L11" s="23">
        <v>1</v>
      </c>
      <c r="M11" s="23">
        <v>1</v>
      </c>
      <c r="N11" s="23">
        <v>1</v>
      </c>
      <c r="O11" s="24">
        <v>1</v>
      </c>
      <c r="P11" s="20">
        <v>1</v>
      </c>
      <c r="Q11" s="21">
        <v>1</v>
      </c>
      <c r="R11" s="22">
        <v>1</v>
      </c>
      <c r="S11" s="18">
        <v>1</v>
      </c>
      <c r="T11" s="23">
        <v>1</v>
      </c>
      <c r="U11" s="23">
        <v>1</v>
      </c>
      <c r="V11" s="23">
        <v>1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B11" s="23">
        <v>1</v>
      </c>
      <c r="AC11" s="24">
        <v>1</v>
      </c>
      <c r="AD11" s="22">
        <v>1</v>
      </c>
      <c r="AE11" s="18">
        <v>1</v>
      </c>
      <c r="AF11" s="23">
        <v>1</v>
      </c>
      <c r="AG11" s="23">
        <v>1</v>
      </c>
      <c r="AH11" s="23">
        <v>1</v>
      </c>
      <c r="AI11" s="24">
        <v>1</v>
      </c>
      <c r="AJ11" s="22">
        <v>1</v>
      </c>
      <c r="AK11" s="18">
        <v>1</v>
      </c>
      <c r="AL11" s="23">
        <v>1</v>
      </c>
      <c r="AM11" s="23">
        <v>1</v>
      </c>
      <c r="AN11" s="23">
        <v>1</v>
      </c>
      <c r="AO11" s="23">
        <v>1</v>
      </c>
      <c r="AP11" s="23">
        <v>1</v>
      </c>
      <c r="AQ11" s="24">
        <v>1</v>
      </c>
      <c r="AR11" s="22">
        <v>1</v>
      </c>
      <c r="AS11" s="18">
        <v>1</v>
      </c>
      <c r="AT11" s="23">
        <v>1</v>
      </c>
      <c r="AU11" s="23">
        <v>1</v>
      </c>
      <c r="AV11" s="23">
        <v>1</v>
      </c>
      <c r="AW11" s="23">
        <v>1</v>
      </c>
      <c r="AX11" s="23">
        <v>1</v>
      </c>
      <c r="AY11" s="23">
        <v>1</v>
      </c>
      <c r="AZ11" s="23">
        <v>1</v>
      </c>
      <c r="BA11" s="23">
        <v>1</v>
      </c>
      <c r="BB11" s="23">
        <v>1</v>
      </c>
      <c r="BC11" s="23">
        <v>1</v>
      </c>
      <c r="BD11" s="24">
        <v>1</v>
      </c>
      <c r="BE11" s="22">
        <v>1</v>
      </c>
      <c r="BF11" s="18">
        <v>1</v>
      </c>
      <c r="BG11" s="24">
        <v>1</v>
      </c>
      <c r="BH11" s="21">
        <v>1</v>
      </c>
      <c r="BI11" s="21">
        <v>1</v>
      </c>
      <c r="BJ11" s="21">
        <v>1</v>
      </c>
      <c r="BK11" s="21">
        <v>1</v>
      </c>
    </row>
    <row r="12" spans="1:63" ht="39" customHeight="1" x14ac:dyDescent="0.35">
      <c r="A12" s="1"/>
      <c r="B12" s="1"/>
      <c r="C12" s="2"/>
      <c r="D12" s="16" t="s">
        <v>70</v>
      </c>
      <c r="E12" s="22">
        <v>1</v>
      </c>
      <c r="F12" s="22">
        <v>1</v>
      </c>
      <c r="G12" s="18">
        <v>1</v>
      </c>
      <c r="H12" s="23">
        <v>1</v>
      </c>
      <c r="I12" s="23">
        <v>1</v>
      </c>
      <c r="J12" s="23">
        <v>1</v>
      </c>
      <c r="K12" s="23">
        <v>1</v>
      </c>
      <c r="L12" s="23">
        <v>1</v>
      </c>
      <c r="M12" s="23">
        <v>1</v>
      </c>
      <c r="N12" s="23">
        <v>1</v>
      </c>
      <c r="O12" s="24">
        <v>1</v>
      </c>
      <c r="P12" s="20">
        <v>1</v>
      </c>
      <c r="Q12" s="21">
        <v>1</v>
      </c>
      <c r="R12" s="22">
        <v>1</v>
      </c>
      <c r="S12" s="18">
        <v>1</v>
      </c>
      <c r="T12" s="23">
        <v>1</v>
      </c>
      <c r="U12" s="23">
        <v>1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3">
        <v>1</v>
      </c>
      <c r="AC12" s="24">
        <v>1</v>
      </c>
      <c r="AD12" s="22">
        <v>1</v>
      </c>
      <c r="AE12" s="18">
        <v>1</v>
      </c>
      <c r="AF12" s="23">
        <v>1</v>
      </c>
      <c r="AG12" s="23">
        <v>1</v>
      </c>
      <c r="AH12" s="23">
        <v>1</v>
      </c>
      <c r="AI12" s="24">
        <v>1</v>
      </c>
      <c r="AJ12" s="22">
        <v>1</v>
      </c>
      <c r="AK12" s="18">
        <v>1</v>
      </c>
      <c r="AL12" s="23">
        <v>1</v>
      </c>
      <c r="AM12" s="23">
        <v>1</v>
      </c>
      <c r="AN12" s="23">
        <v>1</v>
      </c>
      <c r="AO12" s="23">
        <v>1</v>
      </c>
      <c r="AP12" s="23">
        <v>1</v>
      </c>
      <c r="AQ12" s="24">
        <v>1</v>
      </c>
      <c r="AR12" s="22">
        <v>1</v>
      </c>
      <c r="AS12" s="18">
        <v>1</v>
      </c>
      <c r="AT12" s="23">
        <v>1</v>
      </c>
      <c r="AU12" s="23">
        <v>1</v>
      </c>
      <c r="AV12" s="23">
        <v>1</v>
      </c>
      <c r="AW12" s="23">
        <v>1</v>
      </c>
      <c r="AX12" s="23">
        <v>1</v>
      </c>
      <c r="AY12" s="23">
        <v>1</v>
      </c>
      <c r="AZ12" s="23">
        <v>1</v>
      </c>
      <c r="BA12" s="23">
        <v>1</v>
      </c>
      <c r="BB12" s="23">
        <v>1</v>
      </c>
      <c r="BC12" s="23">
        <v>1</v>
      </c>
      <c r="BD12" s="24">
        <v>1</v>
      </c>
      <c r="BE12" s="22">
        <v>1</v>
      </c>
      <c r="BF12" s="18">
        <v>1</v>
      </c>
      <c r="BG12" s="24">
        <v>1</v>
      </c>
      <c r="BH12" s="21">
        <v>1</v>
      </c>
      <c r="BI12" s="21">
        <v>1</v>
      </c>
      <c r="BJ12" s="21">
        <v>1</v>
      </c>
      <c r="BK12" s="21">
        <v>1</v>
      </c>
    </row>
    <row r="13" spans="1:63" ht="39" customHeight="1" x14ac:dyDescent="0.35">
      <c r="A13" s="1"/>
      <c r="B13" s="1"/>
      <c r="C13" s="2"/>
      <c r="D13" s="16" t="s">
        <v>71</v>
      </c>
      <c r="E13" s="22">
        <v>1</v>
      </c>
      <c r="F13" s="22">
        <v>1</v>
      </c>
      <c r="G13" s="18">
        <v>1</v>
      </c>
      <c r="H13" s="23">
        <v>1</v>
      </c>
      <c r="I13" s="23">
        <v>1</v>
      </c>
      <c r="J13" s="23">
        <v>1</v>
      </c>
      <c r="K13" s="23">
        <v>1</v>
      </c>
      <c r="L13" s="23">
        <v>1</v>
      </c>
      <c r="M13" s="23">
        <v>1</v>
      </c>
      <c r="N13" s="23">
        <v>1</v>
      </c>
      <c r="O13" s="24">
        <v>1</v>
      </c>
      <c r="P13" s="20">
        <v>1</v>
      </c>
      <c r="Q13" s="21">
        <v>1</v>
      </c>
      <c r="R13" s="22">
        <v>1</v>
      </c>
      <c r="S13" s="18">
        <v>1</v>
      </c>
      <c r="T13" s="23">
        <v>1</v>
      </c>
      <c r="U13" s="23">
        <v>1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3">
        <v>1</v>
      </c>
      <c r="AC13" s="24">
        <v>1</v>
      </c>
      <c r="AD13" s="22">
        <v>1</v>
      </c>
      <c r="AE13" s="18">
        <v>1</v>
      </c>
      <c r="AF13" s="23">
        <v>1</v>
      </c>
      <c r="AG13" s="23">
        <v>1</v>
      </c>
      <c r="AH13" s="23">
        <v>1</v>
      </c>
      <c r="AI13" s="24">
        <v>1</v>
      </c>
      <c r="AJ13" s="22">
        <v>1</v>
      </c>
      <c r="AK13" s="18">
        <v>1</v>
      </c>
      <c r="AL13" s="23">
        <v>1</v>
      </c>
      <c r="AM13" s="23">
        <v>1</v>
      </c>
      <c r="AN13" s="23">
        <v>1</v>
      </c>
      <c r="AO13" s="23">
        <v>1</v>
      </c>
      <c r="AP13" s="23">
        <v>1</v>
      </c>
      <c r="AQ13" s="24">
        <v>1</v>
      </c>
      <c r="AR13" s="22">
        <v>1</v>
      </c>
      <c r="AS13" s="18">
        <v>1</v>
      </c>
      <c r="AT13" s="23">
        <v>1</v>
      </c>
      <c r="AU13" s="23">
        <v>1</v>
      </c>
      <c r="AV13" s="23">
        <v>1</v>
      </c>
      <c r="AW13" s="23">
        <v>1</v>
      </c>
      <c r="AX13" s="23">
        <v>1</v>
      </c>
      <c r="AY13" s="23">
        <v>1</v>
      </c>
      <c r="AZ13" s="23">
        <v>1</v>
      </c>
      <c r="BA13" s="23">
        <v>1</v>
      </c>
      <c r="BB13" s="23">
        <v>1</v>
      </c>
      <c r="BC13" s="23">
        <v>1</v>
      </c>
      <c r="BD13" s="24">
        <v>1</v>
      </c>
      <c r="BE13" s="22">
        <v>1</v>
      </c>
      <c r="BF13" s="18">
        <v>1</v>
      </c>
      <c r="BG13" s="24">
        <v>1</v>
      </c>
      <c r="BH13" s="21">
        <v>1</v>
      </c>
      <c r="BI13" s="21">
        <v>1</v>
      </c>
      <c r="BJ13" s="21">
        <v>1</v>
      </c>
      <c r="BK13" s="21">
        <v>1</v>
      </c>
    </row>
    <row r="14" spans="1:63" ht="39" customHeight="1" x14ac:dyDescent="0.35">
      <c r="A14" s="1"/>
      <c r="B14" s="1"/>
      <c r="C14" s="2"/>
      <c r="D14" s="12" t="s">
        <v>72</v>
      </c>
      <c r="E14" s="22">
        <v>1</v>
      </c>
      <c r="F14" s="22">
        <v>1</v>
      </c>
      <c r="G14" s="18">
        <v>1</v>
      </c>
      <c r="H14" s="23">
        <v>1</v>
      </c>
      <c r="I14" s="23">
        <v>1</v>
      </c>
      <c r="J14" s="23">
        <v>1</v>
      </c>
      <c r="K14" s="23">
        <v>1</v>
      </c>
      <c r="L14" s="23">
        <v>1</v>
      </c>
      <c r="M14" s="23">
        <v>1</v>
      </c>
      <c r="N14" s="23">
        <v>1</v>
      </c>
      <c r="O14" s="24">
        <v>1</v>
      </c>
      <c r="P14" s="20">
        <v>1</v>
      </c>
      <c r="Q14" s="21">
        <v>1</v>
      </c>
      <c r="R14" s="22">
        <v>1</v>
      </c>
      <c r="S14" s="18">
        <v>1</v>
      </c>
      <c r="T14" s="23">
        <v>1</v>
      </c>
      <c r="U14" s="23">
        <v>1</v>
      </c>
      <c r="V14" s="23">
        <v>1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9">
        <v>0.75</v>
      </c>
      <c r="AD14" s="22">
        <v>1</v>
      </c>
      <c r="AE14" s="18">
        <v>1</v>
      </c>
      <c r="AF14" s="23">
        <v>1</v>
      </c>
      <c r="AG14" s="23">
        <v>1</v>
      </c>
      <c r="AH14" s="23">
        <v>1</v>
      </c>
      <c r="AI14" s="24">
        <v>1</v>
      </c>
      <c r="AJ14" s="22">
        <v>1</v>
      </c>
      <c r="AK14" s="18">
        <v>1</v>
      </c>
      <c r="AL14" s="23">
        <v>1</v>
      </c>
      <c r="AM14" s="23">
        <v>1</v>
      </c>
      <c r="AN14" s="23">
        <v>1</v>
      </c>
      <c r="AO14" s="23">
        <v>1</v>
      </c>
      <c r="AP14" s="23">
        <v>1</v>
      </c>
      <c r="AQ14" s="24">
        <v>1</v>
      </c>
      <c r="AR14" s="22">
        <v>1</v>
      </c>
      <c r="AS14" s="18">
        <v>1</v>
      </c>
      <c r="AT14" s="23">
        <v>1</v>
      </c>
      <c r="AU14" s="23">
        <v>1</v>
      </c>
      <c r="AV14" s="23">
        <v>1</v>
      </c>
      <c r="AW14" s="23">
        <v>1</v>
      </c>
      <c r="AX14" s="23">
        <v>1</v>
      </c>
      <c r="AY14" s="23">
        <v>1</v>
      </c>
      <c r="AZ14" s="23">
        <v>1</v>
      </c>
      <c r="BA14" s="23">
        <v>1</v>
      </c>
      <c r="BB14" s="23">
        <v>1</v>
      </c>
      <c r="BC14" s="23">
        <v>1</v>
      </c>
      <c r="BD14" s="24">
        <v>1</v>
      </c>
      <c r="BE14" s="22">
        <v>1</v>
      </c>
      <c r="BF14" s="18">
        <v>1</v>
      </c>
      <c r="BG14" s="24">
        <v>1</v>
      </c>
      <c r="BH14" s="21">
        <v>1</v>
      </c>
      <c r="BI14" s="21">
        <v>1</v>
      </c>
      <c r="BJ14" s="21">
        <v>1</v>
      </c>
      <c r="BK14" s="21">
        <v>1</v>
      </c>
    </row>
    <row r="15" spans="1:63" ht="39" customHeight="1" x14ac:dyDescent="0.35">
      <c r="A15" s="1"/>
      <c r="B15" s="1"/>
      <c r="C15" s="2"/>
      <c r="D15" s="12" t="s">
        <v>73</v>
      </c>
      <c r="E15" s="22">
        <v>1</v>
      </c>
      <c r="F15" s="22">
        <v>1</v>
      </c>
      <c r="G15" s="18">
        <v>1</v>
      </c>
      <c r="H15" s="23">
        <v>1</v>
      </c>
      <c r="I15" s="23">
        <v>1</v>
      </c>
      <c r="J15" s="23">
        <v>1</v>
      </c>
      <c r="K15" s="23">
        <v>1</v>
      </c>
      <c r="L15" s="23">
        <v>1</v>
      </c>
      <c r="M15" s="23">
        <v>1</v>
      </c>
      <c r="N15" s="23">
        <v>1</v>
      </c>
      <c r="O15" s="24">
        <v>1</v>
      </c>
      <c r="P15" s="20">
        <v>1</v>
      </c>
      <c r="Q15" s="21">
        <v>1</v>
      </c>
      <c r="R15" s="22">
        <v>1</v>
      </c>
      <c r="S15" s="18">
        <v>1</v>
      </c>
      <c r="T15" s="23">
        <v>1</v>
      </c>
      <c r="U15" s="23">
        <v>1</v>
      </c>
      <c r="V15" s="23">
        <v>1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B15" s="23">
        <v>1</v>
      </c>
      <c r="AC15" s="24">
        <v>1</v>
      </c>
      <c r="AD15" s="25">
        <v>1</v>
      </c>
      <c r="AE15" s="26">
        <v>1</v>
      </c>
      <c r="AF15" s="26">
        <v>1</v>
      </c>
      <c r="AG15" s="26">
        <v>1</v>
      </c>
      <c r="AH15" s="26">
        <v>1</v>
      </c>
      <c r="AI15" s="27">
        <v>1</v>
      </c>
      <c r="AJ15" s="25">
        <v>1</v>
      </c>
      <c r="AK15" s="26">
        <v>1</v>
      </c>
      <c r="AL15" s="26">
        <v>1</v>
      </c>
      <c r="AM15" s="26">
        <v>1</v>
      </c>
      <c r="AN15" s="26">
        <v>1</v>
      </c>
      <c r="AO15" s="26">
        <v>1</v>
      </c>
      <c r="AP15" s="26">
        <v>1</v>
      </c>
      <c r="AQ15" s="27">
        <v>1</v>
      </c>
      <c r="AR15" s="25">
        <v>1</v>
      </c>
      <c r="AS15" s="26">
        <v>1</v>
      </c>
      <c r="AT15" s="26">
        <v>1</v>
      </c>
      <c r="AU15" s="26">
        <v>1</v>
      </c>
      <c r="AV15" s="26">
        <v>1</v>
      </c>
      <c r="AW15" s="26">
        <v>1</v>
      </c>
      <c r="AX15" s="26">
        <v>1</v>
      </c>
      <c r="AY15" s="26">
        <v>1</v>
      </c>
      <c r="AZ15" s="26">
        <v>1</v>
      </c>
      <c r="BA15" s="26">
        <v>1</v>
      </c>
      <c r="BB15" s="28">
        <v>0</v>
      </c>
      <c r="BC15" s="26">
        <v>1</v>
      </c>
      <c r="BD15" s="27">
        <v>1</v>
      </c>
      <c r="BE15" s="25">
        <v>1</v>
      </c>
      <c r="BF15" s="26">
        <v>1</v>
      </c>
      <c r="BG15" s="27">
        <v>1</v>
      </c>
      <c r="BH15" s="21">
        <v>1</v>
      </c>
      <c r="BI15" s="11"/>
      <c r="BJ15" s="11"/>
      <c r="BK15" s="11"/>
    </row>
    <row r="16" spans="1:63" ht="39" customHeight="1" x14ac:dyDescent="0.35">
      <c r="A16" s="1"/>
      <c r="B16" s="1"/>
      <c r="C16" s="2"/>
      <c r="D16" s="12" t="s">
        <v>74</v>
      </c>
      <c r="E16" s="22">
        <v>1</v>
      </c>
      <c r="F16" s="22">
        <v>1</v>
      </c>
      <c r="G16" s="18">
        <v>1</v>
      </c>
      <c r="H16" s="23">
        <v>1</v>
      </c>
      <c r="I16" s="23">
        <v>1</v>
      </c>
      <c r="J16" s="23">
        <v>1</v>
      </c>
      <c r="K16" s="23">
        <v>1</v>
      </c>
      <c r="L16" s="23">
        <v>1</v>
      </c>
      <c r="M16" s="23">
        <v>1</v>
      </c>
      <c r="N16" s="23">
        <v>1</v>
      </c>
      <c r="O16" s="24">
        <v>1</v>
      </c>
      <c r="P16" s="20">
        <v>1</v>
      </c>
      <c r="Q16" s="21">
        <v>1</v>
      </c>
      <c r="R16" s="22">
        <v>1</v>
      </c>
      <c r="S16" s="18">
        <v>1</v>
      </c>
      <c r="T16" s="23">
        <v>1</v>
      </c>
      <c r="U16" s="23">
        <v>1</v>
      </c>
      <c r="V16" s="23">
        <v>1</v>
      </c>
      <c r="W16" s="23">
        <v>1</v>
      </c>
      <c r="X16" s="23">
        <v>1</v>
      </c>
      <c r="Y16" s="23">
        <v>1</v>
      </c>
      <c r="Z16" s="23">
        <v>1</v>
      </c>
      <c r="AA16" s="28">
        <v>0</v>
      </c>
      <c r="AB16" s="28">
        <v>0</v>
      </c>
      <c r="AC16" s="29">
        <v>0</v>
      </c>
      <c r="AD16" s="25">
        <v>1</v>
      </c>
      <c r="AE16" s="26">
        <v>1</v>
      </c>
      <c r="AF16" s="26">
        <v>1</v>
      </c>
      <c r="AG16" s="26">
        <v>1</v>
      </c>
      <c r="AH16" s="26">
        <v>1</v>
      </c>
      <c r="AI16" s="27">
        <v>1</v>
      </c>
      <c r="AJ16" s="25">
        <v>1</v>
      </c>
      <c r="AK16" s="26">
        <v>1</v>
      </c>
      <c r="AL16" s="26">
        <v>1</v>
      </c>
      <c r="AM16" s="26">
        <v>1</v>
      </c>
      <c r="AN16" s="26">
        <v>1</v>
      </c>
      <c r="AO16" s="26">
        <v>1</v>
      </c>
      <c r="AP16" s="26">
        <v>1</v>
      </c>
      <c r="AQ16" s="27">
        <v>1</v>
      </c>
      <c r="AR16" s="25">
        <v>1</v>
      </c>
      <c r="AS16" s="26">
        <v>1</v>
      </c>
      <c r="AT16" s="26">
        <v>1</v>
      </c>
      <c r="AU16" s="26">
        <v>1</v>
      </c>
      <c r="AV16" s="26">
        <v>1</v>
      </c>
      <c r="AW16" s="26">
        <v>1</v>
      </c>
      <c r="AX16" s="26">
        <v>1</v>
      </c>
      <c r="AY16" s="26">
        <v>1</v>
      </c>
      <c r="AZ16" s="26">
        <v>1</v>
      </c>
      <c r="BA16" s="26">
        <v>1</v>
      </c>
      <c r="BB16" s="28">
        <v>0</v>
      </c>
      <c r="BC16" s="26">
        <v>1</v>
      </c>
      <c r="BD16" s="27">
        <v>1</v>
      </c>
      <c r="BE16" s="25">
        <v>1</v>
      </c>
      <c r="BF16" s="26">
        <v>1</v>
      </c>
      <c r="BG16" s="27">
        <v>1</v>
      </c>
      <c r="BH16" s="21">
        <v>1</v>
      </c>
      <c r="BI16" s="11"/>
      <c r="BJ16" s="11"/>
      <c r="BK16" s="11"/>
    </row>
    <row r="17" spans="1:63" ht="39" customHeight="1" x14ac:dyDescent="0.35">
      <c r="A17" s="1"/>
      <c r="B17" s="1"/>
      <c r="C17" s="2" t="s">
        <v>75</v>
      </c>
      <c r="D17" s="12" t="s">
        <v>76</v>
      </c>
      <c r="E17" s="22">
        <v>1</v>
      </c>
      <c r="F17" s="22">
        <v>1</v>
      </c>
      <c r="G17" s="18">
        <v>1</v>
      </c>
      <c r="H17" s="23">
        <v>1</v>
      </c>
      <c r="I17" s="23">
        <v>1</v>
      </c>
      <c r="J17" s="23">
        <v>1</v>
      </c>
      <c r="K17" s="23">
        <v>1</v>
      </c>
      <c r="L17" s="23">
        <v>1</v>
      </c>
      <c r="M17" s="23">
        <v>1</v>
      </c>
      <c r="N17" s="23">
        <v>1</v>
      </c>
      <c r="O17" s="24">
        <v>1</v>
      </c>
      <c r="P17" s="20">
        <v>1</v>
      </c>
      <c r="Q17" s="21">
        <v>1</v>
      </c>
      <c r="R17" s="22">
        <v>1</v>
      </c>
      <c r="S17" s="18">
        <v>1</v>
      </c>
      <c r="T17" s="23">
        <v>1</v>
      </c>
      <c r="U17" s="23">
        <v>1</v>
      </c>
      <c r="V17" s="23">
        <v>1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B17" s="23">
        <v>1</v>
      </c>
      <c r="AC17" s="24">
        <v>1</v>
      </c>
      <c r="AD17" s="25">
        <v>1</v>
      </c>
      <c r="AE17" s="26">
        <v>1</v>
      </c>
      <c r="AF17" s="26">
        <v>1</v>
      </c>
      <c r="AG17" s="26">
        <v>1</v>
      </c>
      <c r="AH17" s="26">
        <v>1</v>
      </c>
      <c r="AI17" s="27">
        <v>1</v>
      </c>
      <c r="AJ17" s="25">
        <v>1</v>
      </c>
      <c r="AK17" s="26">
        <v>1</v>
      </c>
      <c r="AL17" s="26">
        <v>1</v>
      </c>
      <c r="AM17" s="26">
        <v>1</v>
      </c>
      <c r="AN17" s="26">
        <v>1</v>
      </c>
      <c r="AO17" s="26">
        <v>1</v>
      </c>
      <c r="AP17" s="26">
        <v>1</v>
      </c>
      <c r="AQ17" s="27">
        <v>1</v>
      </c>
      <c r="AR17" s="25">
        <v>1</v>
      </c>
      <c r="AS17" s="26">
        <v>1</v>
      </c>
      <c r="AT17" s="26">
        <v>1</v>
      </c>
      <c r="AU17" s="26">
        <v>1</v>
      </c>
      <c r="AV17" s="26">
        <v>1</v>
      </c>
      <c r="AW17" s="26">
        <v>1</v>
      </c>
      <c r="AX17" s="26">
        <v>1</v>
      </c>
      <c r="AY17" s="26">
        <v>1</v>
      </c>
      <c r="AZ17" s="26">
        <v>1</v>
      </c>
      <c r="BA17" s="26">
        <v>1</v>
      </c>
      <c r="BB17" s="28">
        <v>0</v>
      </c>
      <c r="BC17" s="26">
        <v>1</v>
      </c>
      <c r="BD17" s="27">
        <v>1</v>
      </c>
      <c r="BE17" s="25">
        <v>1</v>
      </c>
      <c r="BF17" s="26">
        <v>1</v>
      </c>
      <c r="BG17" s="27">
        <v>1</v>
      </c>
      <c r="BH17" s="21">
        <v>1</v>
      </c>
      <c r="BI17" s="11"/>
      <c r="BJ17" s="11"/>
      <c r="BK17" s="11"/>
    </row>
    <row r="18" spans="1:63" ht="49.5" customHeight="1" x14ac:dyDescent="0.35">
      <c r="A18" s="1"/>
      <c r="B18" s="1"/>
      <c r="C18" s="2"/>
      <c r="D18" s="12" t="s">
        <v>77</v>
      </c>
      <c r="E18" s="22">
        <v>1</v>
      </c>
      <c r="F18" s="22">
        <v>1</v>
      </c>
      <c r="G18" s="18">
        <v>1</v>
      </c>
      <c r="H18" s="23">
        <v>1</v>
      </c>
      <c r="I18" s="23">
        <v>1</v>
      </c>
      <c r="J18" s="23">
        <v>1</v>
      </c>
      <c r="K18" s="23">
        <v>1</v>
      </c>
      <c r="L18" s="23">
        <v>1</v>
      </c>
      <c r="M18" s="23">
        <v>1</v>
      </c>
      <c r="N18" s="23">
        <v>1</v>
      </c>
      <c r="O18" s="24">
        <v>1</v>
      </c>
      <c r="P18" s="20">
        <v>1</v>
      </c>
      <c r="Q18" s="21">
        <v>1</v>
      </c>
      <c r="R18" s="22">
        <v>1</v>
      </c>
      <c r="S18" s="18">
        <v>1</v>
      </c>
      <c r="T18" s="23">
        <v>1</v>
      </c>
      <c r="U18" s="23">
        <v>1</v>
      </c>
      <c r="V18" s="23">
        <v>1</v>
      </c>
      <c r="W18" s="23">
        <v>1</v>
      </c>
      <c r="X18" s="23">
        <v>1</v>
      </c>
      <c r="Y18" s="23">
        <v>1</v>
      </c>
      <c r="Z18" s="23">
        <v>1</v>
      </c>
      <c r="AA18" s="28">
        <v>0.2</v>
      </c>
      <c r="AB18" s="28">
        <v>0.7</v>
      </c>
      <c r="AC18" s="24">
        <v>1</v>
      </c>
      <c r="AD18" s="25">
        <v>1</v>
      </c>
      <c r="AE18" s="26">
        <v>1</v>
      </c>
      <c r="AF18" s="26">
        <v>1</v>
      </c>
      <c r="AG18" s="26">
        <v>1</v>
      </c>
      <c r="AH18" s="26">
        <v>1</v>
      </c>
      <c r="AI18" s="27">
        <v>1</v>
      </c>
      <c r="AJ18" s="25">
        <v>1</v>
      </c>
      <c r="AK18" s="26">
        <v>1</v>
      </c>
      <c r="AL18" s="26">
        <v>1</v>
      </c>
      <c r="AM18" s="26">
        <v>1</v>
      </c>
      <c r="AN18" s="26">
        <v>1</v>
      </c>
      <c r="AO18" s="26">
        <v>1</v>
      </c>
      <c r="AP18" s="26">
        <v>1</v>
      </c>
      <c r="AQ18" s="27">
        <v>1</v>
      </c>
      <c r="AR18" s="25">
        <v>1</v>
      </c>
      <c r="AS18" s="26">
        <v>1</v>
      </c>
      <c r="AT18" s="26">
        <v>1</v>
      </c>
      <c r="AU18" s="26">
        <v>1</v>
      </c>
      <c r="AV18" s="26">
        <v>1</v>
      </c>
      <c r="AW18" s="26">
        <v>1</v>
      </c>
      <c r="AX18" s="26">
        <v>1</v>
      </c>
      <c r="AY18" s="26">
        <v>1</v>
      </c>
      <c r="AZ18" s="26">
        <v>1</v>
      </c>
      <c r="BA18" s="26">
        <v>1</v>
      </c>
      <c r="BB18" s="26">
        <v>1</v>
      </c>
      <c r="BC18" s="26">
        <v>1</v>
      </c>
      <c r="BD18" s="27">
        <v>1</v>
      </c>
      <c r="BE18" s="25">
        <v>1</v>
      </c>
      <c r="BF18" s="26">
        <v>1</v>
      </c>
      <c r="BG18" s="27">
        <v>1</v>
      </c>
      <c r="BH18" s="21">
        <v>1</v>
      </c>
      <c r="BI18" s="11"/>
      <c r="BJ18" s="11"/>
      <c r="BK18" s="11"/>
    </row>
    <row r="19" spans="1:63" ht="39" customHeight="1" x14ac:dyDescent="0.35">
      <c r="A19" s="1"/>
      <c r="B19" s="1"/>
      <c r="C19" s="2"/>
      <c r="D19" s="12" t="s">
        <v>78</v>
      </c>
      <c r="E19" s="22">
        <v>1</v>
      </c>
      <c r="F19" s="22">
        <v>1</v>
      </c>
      <c r="G19" s="18">
        <v>1</v>
      </c>
      <c r="H19" s="23">
        <v>1</v>
      </c>
      <c r="I19" s="23">
        <v>1</v>
      </c>
      <c r="J19" s="23">
        <v>1</v>
      </c>
      <c r="K19" s="23">
        <v>1</v>
      </c>
      <c r="L19" s="23">
        <v>1</v>
      </c>
      <c r="M19" s="23">
        <v>1</v>
      </c>
      <c r="N19" s="23">
        <v>1</v>
      </c>
      <c r="O19" s="24">
        <v>1</v>
      </c>
      <c r="P19" s="20">
        <v>1</v>
      </c>
      <c r="Q19" s="21">
        <v>1</v>
      </c>
      <c r="R19" s="22">
        <v>1</v>
      </c>
      <c r="S19" s="18">
        <v>1</v>
      </c>
      <c r="T19" s="23">
        <v>1</v>
      </c>
      <c r="U19" s="23">
        <v>1</v>
      </c>
      <c r="V19" s="23">
        <v>1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B19" s="23">
        <v>1</v>
      </c>
      <c r="AC19" s="65">
        <v>0.97</v>
      </c>
      <c r="AD19" s="22">
        <v>1</v>
      </c>
      <c r="AE19" s="18">
        <v>1</v>
      </c>
      <c r="AF19" s="23">
        <v>1</v>
      </c>
      <c r="AG19" s="23">
        <v>1</v>
      </c>
      <c r="AH19" s="23">
        <v>1</v>
      </c>
      <c r="AI19" s="24">
        <v>1</v>
      </c>
      <c r="AJ19" s="22">
        <v>1</v>
      </c>
      <c r="AK19" s="18">
        <v>1</v>
      </c>
      <c r="AL19" s="23">
        <v>1</v>
      </c>
      <c r="AM19" s="23">
        <v>1</v>
      </c>
      <c r="AN19" s="23">
        <v>1</v>
      </c>
      <c r="AO19" s="23">
        <v>1</v>
      </c>
      <c r="AP19" s="23">
        <v>1</v>
      </c>
      <c r="AQ19" s="24">
        <v>1</v>
      </c>
      <c r="AR19" s="22">
        <v>1</v>
      </c>
      <c r="AS19" s="18">
        <v>1</v>
      </c>
      <c r="AT19" s="23">
        <v>1</v>
      </c>
      <c r="AU19" s="23">
        <v>1</v>
      </c>
      <c r="AV19" s="23">
        <v>1</v>
      </c>
      <c r="AW19" s="23">
        <v>1</v>
      </c>
      <c r="AX19" s="23">
        <v>1</v>
      </c>
      <c r="AY19" s="23">
        <v>1</v>
      </c>
      <c r="AZ19" s="23">
        <v>1</v>
      </c>
      <c r="BA19" s="23">
        <v>1</v>
      </c>
      <c r="BB19" s="28">
        <v>0</v>
      </c>
      <c r="BC19" s="23">
        <v>1</v>
      </c>
      <c r="BD19" s="24">
        <v>1</v>
      </c>
      <c r="BE19" s="22">
        <v>1</v>
      </c>
      <c r="BF19" s="18">
        <v>1</v>
      </c>
      <c r="BG19" s="24">
        <v>1</v>
      </c>
      <c r="BH19" s="21">
        <v>1</v>
      </c>
      <c r="BI19" s="21">
        <v>1</v>
      </c>
      <c r="BJ19" s="11"/>
      <c r="BK19" s="11"/>
    </row>
    <row r="20" spans="1:63" ht="48.75" customHeight="1" x14ac:dyDescent="0.35">
      <c r="A20" s="1"/>
      <c r="B20" s="1"/>
      <c r="C20" s="2"/>
      <c r="D20" s="12" t="s">
        <v>79</v>
      </c>
      <c r="E20" s="22">
        <v>1</v>
      </c>
      <c r="F20" s="22">
        <v>1</v>
      </c>
      <c r="G20" s="18">
        <v>1</v>
      </c>
      <c r="H20" s="23">
        <v>1</v>
      </c>
      <c r="I20" s="23">
        <v>1</v>
      </c>
      <c r="J20" s="23">
        <v>1</v>
      </c>
      <c r="K20" s="23">
        <v>1</v>
      </c>
      <c r="L20" s="23">
        <v>1</v>
      </c>
      <c r="M20" s="23">
        <v>1</v>
      </c>
      <c r="N20" s="23">
        <v>1</v>
      </c>
      <c r="O20" s="24">
        <v>1</v>
      </c>
      <c r="P20" s="20">
        <v>1</v>
      </c>
      <c r="Q20" s="20">
        <v>1</v>
      </c>
      <c r="R20" s="22">
        <v>1</v>
      </c>
      <c r="S20" s="18">
        <v>1</v>
      </c>
      <c r="T20" s="23">
        <v>1</v>
      </c>
      <c r="U20" s="23">
        <v>1</v>
      </c>
      <c r="V20" s="23">
        <v>1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B20" s="23">
        <v>1</v>
      </c>
      <c r="AC20" s="65">
        <v>0.97</v>
      </c>
      <c r="AD20" s="25">
        <v>1</v>
      </c>
      <c r="AE20" s="26">
        <v>1</v>
      </c>
      <c r="AF20" s="26">
        <v>1</v>
      </c>
      <c r="AG20" s="26">
        <v>1</v>
      </c>
      <c r="AH20" s="26">
        <v>1</v>
      </c>
      <c r="AI20" s="27">
        <v>1</v>
      </c>
      <c r="AJ20" s="25">
        <v>1</v>
      </c>
      <c r="AK20" s="26">
        <v>1</v>
      </c>
      <c r="AL20" s="26">
        <v>1</v>
      </c>
      <c r="AM20" s="26">
        <v>1</v>
      </c>
      <c r="AN20" s="26">
        <v>1</v>
      </c>
      <c r="AO20" s="26">
        <v>1</v>
      </c>
      <c r="AP20" s="26">
        <v>1</v>
      </c>
      <c r="AQ20" s="27">
        <v>1</v>
      </c>
      <c r="AR20" s="25">
        <v>1</v>
      </c>
      <c r="AS20" s="26">
        <v>1</v>
      </c>
      <c r="AT20" s="26">
        <v>1</v>
      </c>
      <c r="AU20" s="26">
        <v>1</v>
      </c>
      <c r="AV20" s="26">
        <v>1</v>
      </c>
      <c r="AW20" s="26">
        <v>1</v>
      </c>
      <c r="AX20" s="26">
        <v>1</v>
      </c>
      <c r="AY20" s="26">
        <v>1</v>
      </c>
      <c r="AZ20" s="26">
        <v>1</v>
      </c>
      <c r="BA20" s="26">
        <v>1</v>
      </c>
      <c r="BB20" s="28">
        <v>0</v>
      </c>
      <c r="BC20" s="26">
        <v>1</v>
      </c>
      <c r="BD20" s="27">
        <v>1</v>
      </c>
      <c r="BE20" s="25">
        <v>1</v>
      </c>
      <c r="BF20" s="26">
        <v>1</v>
      </c>
      <c r="BG20" s="27">
        <v>1</v>
      </c>
      <c r="BH20" s="21">
        <v>1</v>
      </c>
      <c r="BI20" s="11"/>
      <c r="BJ20" s="11"/>
      <c r="BK20" s="11"/>
    </row>
    <row r="21" spans="1:63" ht="39" customHeight="1" x14ac:dyDescent="0.35">
      <c r="A21" s="1"/>
      <c r="B21" s="1"/>
      <c r="C21" s="2"/>
      <c r="D21" s="12" t="s">
        <v>80</v>
      </c>
      <c r="E21" s="22">
        <v>1</v>
      </c>
      <c r="F21" s="22">
        <v>1</v>
      </c>
      <c r="G21" s="18">
        <v>1</v>
      </c>
      <c r="H21" s="23">
        <v>1</v>
      </c>
      <c r="I21" s="23">
        <v>1</v>
      </c>
      <c r="J21" s="23">
        <v>1</v>
      </c>
      <c r="K21" s="23">
        <v>1</v>
      </c>
      <c r="L21" s="23">
        <v>1</v>
      </c>
      <c r="M21" s="23">
        <v>1</v>
      </c>
      <c r="N21" s="23">
        <v>1</v>
      </c>
      <c r="O21" s="24">
        <v>1</v>
      </c>
      <c r="P21" s="20">
        <v>1</v>
      </c>
      <c r="Q21" s="20">
        <v>1</v>
      </c>
      <c r="R21" s="22">
        <v>1</v>
      </c>
      <c r="S21" s="18">
        <v>1</v>
      </c>
      <c r="T21" s="23">
        <v>1</v>
      </c>
      <c r="U21" s="23">
        <v>1</v>
      </c>
      <c r="V21" s="23">
        <v>1</v>
      </c>
      <c r="W21" s="23">
        <v>1</v>
      </c>
      <c r="X21" s="23">
        <v>1</v>
      </c>
      <c r="Y21" s="28">
        <v>1</v>
      </c>
      <c r="Z21" s="23">
        <v>1</v>
      </c>
      <c r="AA21" s="28">
        <v>0</v>
      </c>
      <c r="AB21" s="28">
        <v>0</v>
      </c>
      <c r="AC21" s="29">
        <v>0</v>
      </c>
      <c r="AD21" s="25">
        <v>1</v>
      </c>
      <c r="AE21" s="26">
        <v>1</v>
      </c>
      <c r="AF21" s="26">
        <v>1</v>
      </c>
      <c r="AG21" s="26">
        <v>1</v>
      </c>
      <c r="AH21" s="26">
        <v>1</v>
      </c>
      <c r="AI21" s="27">
        <v>1</v>
      </c>
      <c r="AJ21" s="25">
        <v>1</v>
      </c>
      <c r="AK21" s="26">
        <v>1</v>
      </c>
      <c r="AL21" s="26">
        <v>1</v>
      </c>
      <c r="AM21" s="26">
        <v>1</v>
      </c>
      <c r="AN21" s="26">
        <v>1</v>
      </c>
      <c r="AO21" s="26">
        <v>1</v>
      </c>
      <c r="AP21" s="26">
        <v>1</v>
      </c>
      <c r="AQ21" s="27">
        <v>1</v>
      </c>
      <c r="AR21" s="25">
        <v>1</v>
      </c>
      <c r="AS21" s="26">
        <v>1</v>
      </c>
      <c r="AT21" s="26">
        <v>1</v>
      </c>
      <c r="AU21" s="26">
        <v>1</v>
      </c>
      <c r="AV21" s="26">
        <v>1</v>
      </c>
      <c r="AW21" s="26">
        <v>1</v>
      </c>
      <c r="AX21" s="26">
        <v>1</v>
      </c>
      <c r="AY21" s="26">
        <v>1</v>
      </c>
      <c r="AZ21" s="26">
        <v>1</v>
      </c>
      <c r="BA21" s="26">
        <v>1</v>
      </c>
      <c r="BB21" s="28">
        <v>0</v>
      </c>
      <c r="BC21" s="26">
        <v>1</v>
      </c>
      <c r="BD21" s="27">
        <v>1</v>
      </c>
      <c r="BE21" s="25">
        <v>1</v>
      </c>
      <c r="BF21" s="26">
        <v>1</v>
      </c>
      <c r="BG21" s="27">
        <v>1</v>
      </c>
      <c r="BH21" s="21">
        <v>1</v>
      </c>
      <c r="BI21" s="11"/>
      <c r="BJ21" s="11"/>
      <c r="BK21" s="11"/>
    </row>
    <row r="22" spans="1:63" ht="39" customHeight="1" x14ac:dyDescent="0.35">
      <c r="A22" s="1"/>
      <c r="B22" s="1"/>
      <c r="C22" s="2"/>
      <c r="D22" s="12" t="s">
        <v>81</v>
      </c>
      <c r="E22" s="22">
        <v>1</v>
      </c>
      <c r="F22" s="22">
        <v>1</v>
      </c>
      <c r="G22" s="18">
        <v>1</v>
      </c>
      <c r="H22" s="23">
        <v>1</v>
      </c>
      <c r="I22" s="23">
        <v>1</v>
      </c>
      <c r="J22" s="23">
        <v>1</v>
      </c>
      <c r="K22" s="23">
        <v>1</v>
      </c>
      <c r="L22" s="23">
        <v>1</v>
      </c>
      <c r="M22" s="23">
        <v>1</v>
      </c>
      <c r="N22" s="23">
        <v>1</v>
      </c>
      <c r="O22" s="24">
        <v>1</v>
      </c>
      <c r="P22" s="31">
        <v>0.8</v>
      </c>
      <c r="Q22" s="20">
        <v>1</v>
      </c>
      <c r="R22" s="22">
        <v>1</v>
      </c>
      <c r="S22" s="18">
        <v>1</v>
      </c>
      <c r="T22" s="23">
        <v>1</v>
      </c>
      <c r="U22" s="23">
        <v>1</v>
      </c>
      <c r="V22" s="23">
        <v>1</v>
      </c>
      <c r="W22" s="23">
        <v>1</v>
      </c>
      <c r="X22" s="23">
        <v>1</v>
      </c>
      <c r="Y22" s="23">
        <v>1</v>
      </c>
      <c r="Z22" s="23">
        <v>1</v>
      </c>
      <c r="AA22" s="28">
        <v>0</v>
      </c>
      <c r="AB22" s="28">
        <v>0</v>
      </c>
      <c r="AC22" s="29">
        <v>0</v>
      </c>
      <c r="AD22" s="25">
        <v>1</v>
      </c>
      <c r="AE22" s="26">
        <v>1</v>
      </c>
      <c r="AF22" s="26">
        <v>1</v>
      </c>
      <c r="AG22" s="28">
        <v>0.8</v>
      </c>
      <c r="AH22" s="26">
        <v>1</v>
      </c>
      <c r="AI22" s="27">
        <v>1</v>
      </c>
      <c r="AJ22" s="25">
        <v>1</v>
      </c>
      <c r="AK22" s="26">
        <v>1</v>
      </c>
      <c r="AL22" s="26">
        <v>1</v>
      </c>
      <c r="AM22" s="26">
        <v>1</v>
      </c>
      <c r="AN22" s="26">
        <v>1</v>
      </c>
      <c r="AO22" s="26">
        <v>1</v>
      </c>
      <c r="AP22" s="26">
        <v>1</v>
      </c>
      <c r="AQ22" s="27">
        <v>1</v>
      </c>
      <c r="AR22" s="25">
        <v>1</v>
      </c>
      <c r="AS22" s="26">
        <v>1</v>
      </c>
      <c r="AT22" s="26">
        <v>1</v>
      </c>
      <c r="AU22" s="28">
        <v>0</v>
      </c>
      <c r="AV22" s="26">
        <v>1</v>
      </c>
      <c r="AW22" s="26">
        <v>1</v>
      </c>
      <c r="AX22" s="26">
        <v>1</v>
      </c>
      <c r="AY22" s="26">
        <v>1</v>
      </c>
      <c r="AZ22" s="26">
        <v>1</v>
      </c>
      <c r="BA22" s="28">
        <v>0</v>
      </c>
      <c r="BB22" s="28">
        <v>0</v>
      </c>
      <c r="BC22" s="26">
        <v>1</v>
      </c>
      <c r="BD22" s="27">
        <v>1</v>
      </c>
      <c r="BE22" s="32">
        <v>0</v>
      </c>
      <c r="BF22" s="28">
        <v>0</v>
      </c>
      <c r="BG22" s="29">
        <v>0</v>
      </c>
      <c r="BH22" s="33">
        <v>0</v>
      </c>
      <c r="BI22" s="33">
        <v>0</v>
      </c>
      <c r="BJ22" s="33">
        <v>0</v>
      </c>
      <c r="BK22" s="33">
        <v>0</v>
      </c>
    </row>
    <row r="23" spans="1:63" ht="39" customHeight="1" x14ac:dyDescent="0.35">
      <c r="A23" s="1"/>
      <c r="B23" s="1"/>
      <c r="C23" s="2"/>
      <c r="D23" s="12" t="s">
        <v>82</v>
      </c>
      <c r="E23" s="22">
        <v>1</v>
      </c>
      <c r="F23" s="22">
        <v>1</v>
      </c>
      <c r="G23" s="18">
        <v>1</v>
      </c>
      <c r="H23" s="23">
        <v>1</v>
      </c>
      <c r="I23" s="23">
        <v>1</v>
      </c>
      <c r="J23" s="23">
        <v>1</v>
      </c>
      <c r="K23" s="23">
        <v>1</v>
      </c>
      <c r="L23" s="23">
        <v>1</v>
      </c>
      <c r="M23" s="23">
        <v>1</v>
      </c>
      <c r="N23" s="23">
        <v>1</v>
      </c>
      <c r="O23" s="24">
        <v>1</v>
      </c>
      <c r="P23" s="20">
        <v>1</v>
      </c>
      <c r="Q23" s="20">
        <v>1</v>
      </c>
      <c r="R23" s="22">
        <v>1</v>
      </c>
      <c r="S23" s="18">
        <v>1</v>
      </c>
      <c r="T23" s="23">
        <v>1</v>
      </c>
      <c r="U23" s="23">
        <v>1</v>
      </c>
      <c r="V23" s="23">
        <v>1</v>
      </c>
      <c r="W23" s="23">
        <v>1</v>
      </c>
      <c r="X23" s="23">
        <v>1</v>
      </c>
      <c r="Y23" s="23">
        <v>1</v>
      </c>
      <c r="Z23" s="23">
        <v>1</v>
      </c>
      <c r="AA23" s="28">
        <v>0</v>
      </c>
      <c r="AB23" s="28">
        <v>0</v>
      </c>
      <c r="AC23" s="29">
        <v>0</v>
      </c>
      <c r="AD23" s="25">
        <v>1</v>
      </c>
      <c r="AE23" s="26">
        <v>1</v>
      </c>
      <c r="AF23" s="26">
        <v>1</v>
      </c>
      <c r="AG23" s="26">
        <v>1</v>
      </c>
      <c r="AH23" s="26">
        <v>1</v>
      </c>
      <c r="AI23" s="27">
        <v>1</v>
      </c>
      <c r="AJ23" s="32">
        <v>0</v>
      </c>
      <c r="AK23" s="28">
        <v>0</v>
      </c>
      <c r="AL23" s="26">
        <v>1</v>
      </c>
      <c r="AM23" s="26">
        <v>1</v>
      </c>
      <c r="AN23" s="26">
        <v>1</v>
      </c>
      <c r="AO23" s="26">
        <v>1</v>
      </c>
      <c r="AP23" s="28">
        <v>0</v>
      </c>
      <c r="AQ23" s="27">
        <v>1</v>
      </c>
      <c r="AR23" s="25">
        <v>1</v>
      </c>
      <c r="AS23" s="28">
        <v>0</v>
      </c>
      <c r="AT23" s="26">
        <v>1</v>
      </c>
      <c r="AU23" s="28">
        <v>0</v>
      </c>
      <c r="AV23" s="26">
        <v>1</v>
      </c>
      <c r="AW23" s="34">
        <v>0</v>
      </c>
      <c r="AX23" s="26">
        <v>1</v>
      </c>
      <c r="AY23" s="26">
        <v>1</v>
      </c>
      <c r="AZ23" s="28">
        <v>0</v>
      </c>
      <c r="BA23" s="28">
        <v>0</v>
      </c>
      <c r="BB23" s="28">
        <v>0</v>
      </c>
      <c r="BC23" s="28">
        <v>0</v>
      </c>
      <c r="BD23" s="29">
        <v>0</v>
      </c>
      <c r="BE23" s="32">
        <v>0</v>
      </c>
      <c r="BF23" s="28">
        <v>0</v>
      </c>
      <c r="BG23" s="29">
        <v>0</v>
      </c>
      <c r="BH23" s="33">
        <v>0</v>
      </c>
      <c r="BI23" s="33">
        <v>0</v>
      </c>
      <c r="BJ23" s="33">
        <v>0</v>
      </c>
      <c r="BK23" s="33">
        <v>0</v>
      </c>
    </row>
    <row r="24" spans="1:63" ht="39" customHeight="1" x14ac:dyDescent="0.35">
      <c r="A24" s="1"/>
      <c r="B24" s="1"/>
      <c r="C24" s="2"/>
      <c r="D24" s="12" t="s">
        <v>83</v>
      </c>
      <c r="E24" s="22">
        <v>1</v>
      </c>
      <c r="F24" s="22">
        <v>1</v>
      </c>
      <c r="G24" s="18">
        <v>1</v>
      </c>
      <c r="H24" s="23">
        <v>1</v>
      </c>
      <c r="I24" s="23">
        <v>1</v>
      </c>
      <c r="J24" s="23">
        <v>1</v>
      </c>
      <c r="K24" s="23">
        <v>1</v>
      </c>
      <c r="L24" s="23">
        <v>1</v>
      </c>
      <c r="M24" s="23">
        <v>1</v>
      </c>
      <c r="N24" s="23">
        <v>1</v>
      </c>
      <c r="O24" s="24">
        <v>1</v>
      </c>
      <c r="P24" s="31">
        <v>0.8</v>
      </c>
      <c r="Q24" s="20">
        <v>1</v>
      </c>
      <c r="R24" s="22">
        <v>1</v>
      </c>
      <c r="S24" s="18">
        <v>1</v>
      </c>
      <c r="T24" s="23">
        <v>1</v>
      </c>
      <c r="U24" s="23">
        <v>1</v>
      </c>
      <c r="V24" s="23">
        <v>1</v>
      </c>
      <c r="W24" s="23">
        <v>1</v>
      </c>
      <c r="X24" s="23">
        <v>1</v>
      </c>
      <c r="Y24" s="23">
        <v>1</v>
      </c>
      <c r="Z24" s="23">
        <v>1</v>
      </c>
      <c r="AA24" s="28">
        <v>0</v>
      </c>
      <c r="AB24" s="28">
        <v>0</v>
      </c>
      <c r="AC24" s="29">
        <v>0</v>
      </c>
      <c r="AD24" s="25">
        <v>1</v>
      </c>
      <c r="AE24" s="26">
        <v>1</v>
      </c>
      <c r="AF24" s="26">
        <v>1</v>
      </c>
      <c r="AG24" s="26">
        <v>1</v>
      </c>
      <c r="AH24" s="28">
        <v>0</v>
      </c>
      <c r="AI24" s="29">
        <v>0</v>
      </c>
      <c r="AJ24" s="32">
        <v>0</v>
      </c>
      <c r="AK24" s="26">
        <v>1</v>
      </c>
      <c r="AL24" s="26">
        <v>1</v>
      </c>
      <c r="AM24" s="26">
        <v>1</v>
      </c>
      <c r="AN24" s="28">
        <v>0</v>
      </c>
      <c r="AO24" s="26">
        <v>1</v>
      </c>
      <c r="AP24" s="28">
        <v>0</v>
      </c>
      <c r="AQ24" s="29">
        <v>0</v>
      </c>
      <c r="AR24" s="35">
        <v>0</v>
      </c>
      <c r="AS24" s="28">
        <v>0</v>
      </c>
      <c r="AT24" s="26">
        <v>1</v>
      </c>
      <c r="AU24" s="28">
        <v>0</v>
      </c>
      <c r="AV24" s="26">
        <v>1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9">
        <v>0</v>
      </c>
      <c r="BE24" s="32">
        <v>0</v>
      </c>
      <c r="BF24" s="28">
        <v>0</v>
      </c>
      <c r="BG24" s="29">
        <v>0</v>
      </c>
      <c r="BH24" s="33">
        <v>0</v>
      </c>
      <c r="BI24" s="33">
        <v>0</v>
      </c>
      <c r="BJ24" s="33">
        <v>0</v>
      </c>
      <c r="BK24" s="33">
        <v>0</v>
      </c>
    </row>
    <row r="25" spans="1:63" ht="39" customHeight="1" x14ac:dyDescent="0.35">
      <c r="A25" s="1"/>
      <c r="B25" s="1"/>
      <c r="C25" s="2"/>
      <c r="D25" s="12" t="s">
        <v>84</v>
      </c>
      <c r="E25" s="22">
        <v>1</v>
      </c>
      <c r="F25" s="22">
        <v>1</v>
      </c>
      <c r="G25" s="18">
        <v>1</v>
      </c>
      <c r="H25" s="23">
        <v>1</v>
      </c>
      <c r="I25" s="23">
        <v>1</v>
      </c>
      <c r="J25" s="23">
        <v>1</v>
      </c>
      <c r="K25" s="23">
        <v>1</v>
      </c>
      <c r="L25" s="23">
        <v>1</v>
      </c>
      <c r="M25" s="23">
        <v>1</v>
      </c>
      <c r="N25" s="23">
        <v>1</v>
      </c>
      <c r="O25" s="24">
        <v>1</v>
      </c>
      <c r="P25" s="20">
        <v>1</v>
      </c>
      <c r="Q25" s="20">
        <v>1</v>
      </c>
      <c r="R25" s="22">
        <v>1</v>
      </c>
      <c r="S25" s="18">
        <v>1</v>
      </c>
      <c r="T25" s="23">
        <v>1</v>
      </c>
      <c r="U25" s="23">
        <v>1</v>
      </c>
      <c r="V25" s="23">
        <v>1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B25" s="23">
        <v>1</v>
      </c>
      <c r="AC25" s="67">
        <v>0.65</v>
      </c>
      <c r="AD25" s="25">
        <v>1</v>
      </c>
      <c r="AE25" s="26">
        <v>1</v>
      </c>
      <c r="AF25" s="26">
        <v>1</v>
      </c>
      <c r="AG25" s="26">
        <v>1</v>
      </c>
      <c r="AH25" s="26">
        <v>1</v>
      </c>
      <c r="AI25" s="27">
        <v>1</v>
      </c>
      <c r="AJ25" s="25">
        <v>1</v>
      </c>
      <c r="AK25" s="26">
        <v>1</v>
      </c>
      <c r="AL25" s="26">
        <v>1</v>
      </c>
      <c r="AM25" s="26">
        <v>1</v>
      </c>
      <c r="AN25" s="26">
        <v>1</v>
      </c>
      <c r="AO25" s="26">
        <v>1</v>
      </c>
      <c r="AP25" s="26">
        <v>1</v>
      </c>
      <c r="AQ25" s="27">
        <v>1</v>
      </c>
      <c r="AR25" s="25">
        <v>1</v>
      </c>
      <c r="AS25" s="26">
        <v>1</v>
      </c>
      <c r="AT25" s="26">
        <v>1</v>
      </c>
      <c r="AU25" s="28">
        <v>0.5</v>
      </c>
      <c r="AV25" s="26">
        <v>1</v>
      </c>
      <c r="AW25" s="28">
        <v>0</v>
      </c>
      <c r="AX25" s="26">
        <v>1</v>
      </c>
      <c r="AY25" s="26">
        <v>1</v>
      </c>
      <c r="AZ25" s="26">
        <v>1</v>
      </c>
      <c r="BA25" s="28">
        <v>0</v>
      </c>
      <c r="BB25" s="28">
        <v>0</v>
      </c>
      <c r="BC25" s="28">
        <v>0</v>
      </c>
      <c r="BD25" s="29">
        <v>0</v>
      </c>
      <c r="BE25" s="32">
        <v>0</v>
      </c>
      <c r="BF25" s="28">
        <v>0</v>
      </c>
      <c r="BG25" s="29">
        <v>0</v>
      </c>
      <c r="BH25" s="33">
        <v>0</v>
      </c>
      <c r="BI25" s="33">
        <v>0</v>
      </c>
      <c r="BJ25" s="33">
        <v>0</v>
      </c>
      <c r="BK25" s="33">
        <v>0</v>
      </c>
    </row>
    <row r="26" spans="1:63" ht="39" customHeight="1" x14ac:dyDescent="0.35">
      <c r="A26" s="1"/>
      <c r="B26" s="1"/>
      <c r="C26" s="2"/>
      <c r="D26" s="12" t="s">
        <v>85</v>
      </c>
      <c r="E26" s="22">
        <v>1</v>
      </c>
      <c r="F26" s="22">
        <v>1</v>
      </c>
      <c r="G26" s="18">
        <v>1</v>
      </c>
      <c r="H26" s="23">
        <v>1</v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  <c r="N26" s="23">
        <v>1</v>
      </c>
      <c r="O26" s="24">
        <v>1</v>
      </c>
      <c r="P26" s="31">
        <v>0.8</v>
      </c>
      <c r="Q26" s="20">
        <v>1</v>
      </c>
      <c r="R26" s="22">
        <v>1</v>
      </c>
      <c r="S26" s="18">
        <v>1</v>
      </c>
      <c r="T26" s="23">
        <v>1</v>
      </c>
      <c r="U26" s="23">
        <v>1</v>
      </c>
      <c r="V26" s="23">
        <v>1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B26" s="23">
        <v>1</v>
      </c>
      <c r="AC26" s="67">
        <v>0.65</v>
      </c>
      <c r="AD26" s="25">
        <v>1</v>
      </c>
      <c r="AE26" s="26">
        <v>1</v>
      </c>
      <c r="AF26" s="26">
        <v>1</v>
      </c>
      <c r="AG26" s="26">
        <v>1</v>
      </c>
      <c r="AH26" s="26">
        <v>1</v>
      </c>
      <c r="AI26" s="27">
        <v>1</v>
      </c>
      <c r="AJ26" s="25">
        <v>1</v>
      </c>
      <c r="AK26" s="26">
        <v>1</v>
      </c>
      <c r="AL26" s="26">
        <v>1</v>
      </c>
      <c r="AM26" s="36">
        <v>1</v>
      </c>
      <c r="AN26" s="26">
        <v>1</v>
      </c>
      <c r="AO26" s="26">
        <v>1</v>
      </c>
      <c r="AP26" s="26">
        <v>1</v>
      </c>
      <c r="AQ26" s="27">
        <v>1</v>
      </c>
      <c r="AR26" s="32">
        <v>0.5</v>
      </c>
      <c r="AS26" s="26">
        <v>1</v>
      </c>
      <c r="AT26" s="26">
        <v>1</v>
      </c>
      <c r="AU26" s="26">
        <v>1</v>
      </c>
      <c r="AV26" s="26">
        <v>1</v>
      </c>
      <c r="AW26" s="28">
        <v>0</v>
      </c>
      <c r="AX26" s="26">
        <v>1</v>
      </c>
      <c r="AY26" s="26">
        <v>1</v>
      </c>
      <c r="AZ26" s="26">
        <v>1</v>
      </c>
      <c r="BA26" s="28">
        <v>0</v>
      </c>
      <c r="BB26" s="28">
        <v>0</v>
      </c>
      <c r="BC26" s="28">
        <v>0</v>
      </c>
      <c r="BD26" s="29">
        <v>0</v>
      </c>
      <c r="BE26" s="32">
        <v>0</v>
      </c>
      <c r="BF26" s="28">
        <v>0</v>
      </c>
      <c r="BG26" s="29">
        <v>0</v>
      </c>
      <c r="BH26" s="33">
        <v>0</v>
      </c>
      <c r="BI26" s="33">
        <v>0</v>
      </c>
      <c r="BJ26" s="33">
        <v>0</v>
      </c>
      <c r="BK26" s="33">
        <v>0</v>
      </c>
    </row>
    <row r="27" spans="1:63" ht="39" customHeight="1" x14ac:dyDescent="0.35">
      <c r="A27" s="1"/>
      <c r="B27" s="1"/>
      <c r="C27" s="2"/>
      <c r="D27" s="12" t="s">
        <v>86</v>
      </c>
      <c r="E27" s="22">
        <v>1</v>
      </c>
      <c r="F27" s="22">
        <v>1</v>
      </c>
      <c r="G27" s="18">
        <v>1</v>
      </c>
      <c r="H27" s="23">
        <v>1</v>
      </c>
      <c r="I27" s="23">
        <v>1</v>
      </c>
      <c r="J27" s="23">
        <v>1</v>
      </c>
      <c r="K27" s="23">
        <v>1</v>
      </c>
      <c r="L27" s="23">
        <v>1</v>
      </c>
      <c r="M27" s="23">
        <v>1</v>
      </c>
      <c r="N27" s="23">
        <v>1</v>
      </c>
      <c r="O27" s="24">
        <v>1</v>
      </c>
      <c r="P27" s="31">
        <v>0.8</v>
      </c>
      <c r="Q27" s="20">
        <v>1</v>
      </c>
      <c r="R27" s="22">
        <v>1</v>
      </c>
      <c r="S27" s="18">
        <v>1</v>
      </c>
      <c r="T27" s="23">
        <v>1</v>
      </c>
      <c r="U27" s="23">
        <v>1</v>
      </c>
      <c r="V27" s="2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B27" s="23">
        <v>1</v>
      </c>
      <c r="AC27" s="29">
        <v>0</v>
      </c>
      <c r="AD27" s="32">
        <v>0</v>
      </c>
      <c r="AE27" s="26">
        <v>1</v>
      </c>
      <c r="AF27" s="26">
        <v>1</v>
      </c>
      <c r="AG27" s="26">
        <v>1</v>
      </c>
      <c r="AH27" s="28">
        <v>0</v>
      </c>
      <c r="AI27" s="29">
        <v>0</v>
      </c>
      <c r="AJ27" s="32">
        <v>0</v>
      </c>
      <c r="AK27" s="28">
        <v>0</v>
      </c>
      <c r="AL27" s="26">
        <v>1</v>
      </c>
      <c r="AM27" s="36">
        <v>1</v>
      </c>
      <c r="AN27" s="28">
        <v>0</v>
      </c>
      <c r="AO27" s="28">
        <v>0</v>
      </c>
      <c r="AP27" s="28">
        <v>0</v>
      </c>
      <c r="AQ27" s="29">
        <v>0</v>
      </c>
      <c r="AR27" s="32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9">
        <v>0</v>
      </c>
      <c r="BE27" s="32">
        <v>0</v>
      </c>
      <c r="BF27" s="28">
        <v>0</v>
      </c>
      <c r="BG27" s="29">
        <v>0</v>
      </c>
      <c r="BH27" s="33">
        <v>0</v>
      </c>
      <c r="BI27" s="33">
        <v>0</v>
      </c>
      <c r="BJ27" s="33">
        <v>0</v>
      </c>
      <c r="BK27" s="33">
        <v>0</v>
      </c>
    </row>
    <row r="28" spans="1:63" ht="39" customHeight="1" x14ac:dyDescent="0.35">
      <c r="A28" s="1"/>
      <c r="B28" s="1"/>
      <c r="C28" s="2"/>
      <c r="D28" s="12" t="s">
        <v>87</v>
      </c>
      <c r="E28" s="22">
        <v>1</v>
      </c>
      <c r="F28" s="22">
        <v>1</v>
      </c>
      <c r="G28" s="18">
        <v>1</v>
      </c>
      <c r="H28" s="23">
        <v>1</v>
      </c>
      <c r="I28" s="23">
        <v>1</v>
      </c>
      <c r="J28" s="23">
        <v>1</v>
      </c>
      <c r="K28" s="23">
        <v>1</v>
      </c>
      <c r="L28" s="23">
        <v>1</v>
      </c>
      <c r="M28" s="23">
        <v>1</v>
      </c>
      <c r="N28" s="23">
        <v>1</v>
      </c>
      <c r="O28" s="24">
        <v>1</v>
      </c>
      <c r="P28" s="20">
        <v>1</v>
      </c>
      <c r="Q28" s="20">
        <v>1</v>
      </c>
      <c r="R28" s="20">
        <v>1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9">
        <v>0</v>
      </c>
      <c r="AD28" s="32">
        <v>0</v>
      </c>
      <c r="AE28" s="28">
        <v>0</v>
      </c>
      <c r="AF28" s="28">
        <v>0</v>
      </c>
      <c r="AG28" s="28">
        <v>0</v>
      </c>
      <c r="AH28" s="28">
        <v>0</v>
      </c>
      <c r="AI28" s="29">
        <v>0</v>
      </c>
      <c r="AJ28" s="32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9">
        <v>0</v>
      </c>
      <c r="AR28" s="32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9">
        <v>0</v>
      </c>
      <c r="BE28" s="32">
        <v>0</v>
      </c>
      <c r="BF28" s="28">
        <v>0</v>
      </c>
      <c r="BG28" s="29">
        <v>0</v>
      </c>
      <c r="BH28" s="33">
        <v>0</v>
      </c>
      <c r="BI28" s="33">
        <v>0</v>
      </c>
      <c r="BJ28" s="33">
        <v>0</v>
      </c>
      <c r="BK28" s="33">
        <v>0</v>
      </c>
    </row>
    <row r="29" spans="1:63" ht="39" customHeight="1" x14ac:dyDescent="0.35">
      <c r="A29" s="1"/>
      <c r="B29" s="1"/>
      <c r="C29" s="92"/>
      <c r="D29" s="12" t="s">
        <v>88</v>
      </c>
      <c r="E29" s="22">
        <v>1</v>
      </c>
      <c r="F29" s="22">
        <v>1</v>
      </c>
      <c r="G29" s="18">
        <v>1</v>
      </c>
      <c r="H29" s="23">
        <v>1</v>
      </c>
      <c r="I29" s="23">
        <v>1</v>
      </c>
      <c r="J29" s="23">
        <v>1</v>
      </c>
      <c r="K29" s="23">
        <v>1</v>
      </c>
      <c r="L29" s="23">
        <v>1</v>
      </c>
      <c r="M29" s="23">
        <v>1</v>
      </c>
      <c r="N29" s="23">
        <v>1</v>
      </c>
      <c r="O29" s="23">
        <v>1</v>
      </c>
      <c r="P29" s="20">
        <v>1</v>
      </c>
      <c r="Q29" s="20">
        <v>1</v>
      </c>
      <c r="R29" s="32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9">
        <v>0</v>
      </c>
      <c r="AD29" s="32">
        <v>0</v>
      </c>
      <c r="AE29" s="28">
        <v>0</v>
      </c>
      <c r="AF29" s="28">
        <v>0</v>
      </c>
      <c r="AG29" s="28">
        <v>0</v>
      </c>
      <c r="AH29" s="28">
        <v>0</v>
      </c>
      <c r="AI29" s="29">
        <v>0</v>
      </c>
      <c r="AJ29" s="32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9">
        <v>0</v>
      </c>
      <c r="AR29" s="32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9">
        <v>0</v>
      </c>
      <c r="BE29" s="32">
        <v>0</v>
      </c>
      <c r="BF29" s="28">
        <v>0</v>
      </c>
      <c r="BG29" s="29">
        <v>0</v>
      </c>
      <c r="BH29" s="33">
        <v>0</v>
      </c>
      <c r="BI29" s="33">
        <v>0</v>
      </c>
      <c r="BJ29" s="33">
        <v>0</v>
      </c>
      <c r="BK29" s="33">
        <v>0</v>
      </c>
    </row>
    <row r="30" spans="1:63" ht="39" customHeight="1" x14ac:dyDescent="0.35">
      <c r="A30" s="1"/>
      <c r="B30" s="1"/>
      <c r="C30" s="81"/>
      <c r="D30" s="12" t="s">
        <v>89</v>
      </c>
      <c r="E30" s="22">
        <v>1</v>
      </c>
      <c r="F30" s="22">
        <v>1</v>
      </c>
      <c r="G30" s="18">
        <v>1</v>
      </c>
      <c r="H30" s="23">
        <v>1</v>
      </c>
      <c r="I30" s="23">
        <v>1</v>
      </c>
      <c r="J30" s="23">
        <v>1</v>
      </c>
      <c r="K30" s="23">
        <v>1</v>
      </c>
      <c r="L30" s="23">
        <v>1</v>
      </c>
      <c r="M30" s="23">
        <v>1</v>
      </c>
      <c r="N30" s="23">
        <v>1</v>
      </c>
      <c r="O30" s="24">
        <v>1</v>
      </c>
      <c r="P30" s="20">
        <v>1</v>
      </c>
      <c r="Q30" s="20">
        <v>1</v>
      </c>
      <c r="R30" s="32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9">
        <v>0</v>
      </c>
      <c r="AD30" s="32">
        <v>0</v>
      </c>
      <c r="AE30" s="28">
        <v>0</v>
      </c>
      <c r="AF30" s="28">
        <v>0</v>
      </c>
      <c r="AG30" s="28">
        <v>0</v>
      </c>
      <c r="AH30" s="28">
        <v>0</v>
      </c>
      <c r="AI30" s="29">
        <v>0</v>
      </c>
      <c r="AJ30" s="32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9">
        <v>0</v>
      </c>
      <c r="AR30" s="32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9">
        <v>0</v>
      </c>
      <c r="BE30" s="32">
        <v>0</v>
      </c>
      <c r="BF30" s="28">
        <v>0</v>
      </c>
      <c r="BG30" s="29">
        <v>0</v>
      </c>
      <c r="BH30" s="33">
        <v>0</v>
      </c>
      <c r="BI30" s="33">
        <v>0</v>
      </c>
      <c r="BJ30" s="33">
        <v>0</v>
      </c>
      <c r="BK30" s="33">
        <v>0</v>
      </c>
    </row>
    <row r="31" spans="1:63" ht="39" customHeight="1" x14ac:dyDescent="0.35">
      <c r="A31" s="1"/>
      <c r="B31" s="1"/>
      <c r="C31" s="81"/>
      <c r="D31" s="12" t="s">
        <v>90</v>
      </c>
      <c r="E31" s="22">
        <v>1</v>
      </c>
      <c r="F31" s="22">
        <v>1</v>
      </c>
      <c r="G31" s="18">
        <v>1</v>
      </c>
      <c r="H31" s="23">
        <v>1</v>
      </c>
      <c r="I31" s="23">
        <v>1</v>
      </c>
      <c r="J31" s="23">
        <v>1</v>
      </c>
      <c r="K31" s="23">
        <v>1</v>
      </c>
      <c r="L31" s="23">
        <v>1</v>
      </c>
      <c r="M31" s="23">
        <v>1</v>
      </c>
      <c r="N31" s="23">
        <v>1</v>
      </c>
      <c r="O31" s="24">
        <v>1</v>
      </c>
      <c r="P31" s="24">
        <v>1</v>
      </c>
      <c r="Q31" s="24">
        <v>1</v>
      </c>
      <c r="R31" s="32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9">
        <v>0</v>
      </c>
      <c r="AD31" s="32">
        <v>0</v>
      </c>
      <c r="AE31" s="28">
        <v>0</v>
      </c>
      <c r="AF31" s="28">
        <v>0</v>
      </c>
      <c r="AG31" s="28">
        <v>0</v>
      </c>
      <c r="AH31" s="28">
        <v>0</v>
      </c>
      <c r="AI31" s="29">
        <v>0</v>
      </c>
      <c r="AJ31" s="32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9">
        <v>0</v>
      </c>
      <c r="AR31" s="32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9">
        <v>0</v>
      </c>
      <c r="BE31" s="32">
        <v>0</v>
      </c>
      <c r="BF31" s="28">
        <v>0</v>
      </c>
      <c r="BG31" s="29">
        <v>0</v>
      </c>
      <c r="BH31" s="33">
        <v>0</v>
      </c>
      <c r="BI31" s="33">
        <v>0</v>
      </c>
      <c r="BJ31" s="33">
        <v>0</v>
      </c>
      <c r="BK31" s="33">
        <v>0</v>
      </c>
    </row>
    <row r="32" spans="1:63" ht="39" customHeight="1" x14ac:dyDescent="0.35">
      <c r="A32" s="1"/>
      <c r="B32" s="1"/>
      <c r="C32" s="81"/>
      <c r="D32" s="12" t="s">
        <v>91</v>
      </c>
      <c r="E32" s="22">
        <v>1</v>
      </c>
      <c r="F32" s="22">
        <v>1</v>
      </c>
      <c r="G32" s="18">
        <v>1</v>
      </c>
      <c r="H32" s="23">
        <v>1</v>
      </c>
      <c r="I32" s="23">
        <v>1</v>
      </c>
      <c r="J32" s="23">
        <v>1</v>
      </c>
      <c r="K32" s="23">
        <v>1</v>
      </c>
      <c r="L32" s="23">
        <v>1</v>
      </c>
      <c r="M32" s="23">
        <v>1</v>
      </c>
      <c r="N32" s="23">
        <v>1</v>
      </c>
      <c r="O32" s="24">
        <v>1</v>
      </c>
      <c r="P32" s="24">
        <v>1</v>
      </c>
      <c r="Q32" s="33">
        <v>0</v>
      </c>
      <c r="R32" s="32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9">
        <v>0</v>
      </c>
      <c r="AD32" s="32">
        <v>0</v>
      </c>
      <c r="AE32" s="28">
        <v>0</v>
      </c>
      <c r="AF32" s="28">
        <v>0</v>
      </c>
      <c r="AG32" s="28">
        <v>0</v>
      </c>
      <c r="AH32" s="28">
        <v>0</v>
      </c>
      <c r="AI32" s="29">
        <v>0</v>
      </c>
      <c r="AJ32" s="32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9">
        <v>0</v>
      </c>
      <c r="AR32" s="32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9">
        <v>0</v>
      </c>
      <c r="BE32" s="32">
        <v>0</v>
      </c>
      <c r="BF32" s="28">
        <v>0</v>
      </c>
      <c r="BG32" s="29">
        <v>0</v>
      </c>
      <c r="BH32" s="33">
        <v>0</v>
      </c>
      <c r="BI32" s="33">
        <v>0</v>
      </c>
      <c r="BJ32" s="33">
        <v>0</v>
      </c>
      <c r="BK32" s="33">
        <v>0</v>
      </c>
    </row>
    <row r="33" spans="1:63" ht="39" customHeight="1" x14ac:dyDescent="0.35">
      <c r="A33" s="1"/>
      <c r="B33" s="1"/>
      <c r="C33" s="2"/>
      <c r="D33" s="12" t="s">
        <v>92</v>
      </c>
      <c r="E33" s="22">
        <v>1</v>
      </c>
      <c r="F33" s="22">
        <v>1</v>
      </c>
      <c r="G33" s="18">
        <v>1</v>
      </c>
      <c r="H33" s="23">
        <v>1</v>
      </c>
      <c r="I33" s="23">
        <v>1</v>
      </c>
      <c r="J33" s="23">
        <v>1</v>
      </c>
      <c r="K33" s="23">
        <v>1</v>
      </c>
      <c r="L33" s="23">
        <v>1</v>
      </c>
      <c r="M33" s="23">
        <v>1</v>
      </c>
      <c r="N33" s="23">
        <v>1</v>
      </c>
      <c r="O33" s="24">
        <v>1</v>
      </c>
      <c r="P33" s="24">
        <v>1</v>
      </c>
      <c r="Q33" s="33">
        <v>0</v>
      </c>
      <c r="R33" s="32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9">
        <v>0</v>
      </c>
      <c r="AD33" s="32">
        <v>0</v>
      </c>
      <c r="AE33" s="28">
        <v>0</v>
      </c>
      <c r="AF33" s="28">
        <v>0</v>
      </c>
      <c r="AG33" s="28">
        <v>0</v>
      </c>
      <c r="AH33" s="28">
        <v>0</v>
      </c>
      <c r="AI33" s="29">
        <v>0</v>
      </c>
      <c r="AJ33" s="32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9">
        <v>0</v>
      </c>
      <c r="AR33" s="32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9">
        <v>0</v>
      </c>
      <c r="BE33" s="32">
        <v>0</v>
      </c>
      <c r="BF33" s="28">
        <v>0</v>
      </c>
      <c r="BG33" s="29">
        <v>0</v>
      </c>
      <c r="BH33" s="33">
        <v>0</v>
      </c>
      <c r="BI33" s="33">
        <v>0</v>
      </c>
      <c r="BJ33" s="33">
        <v>0</v>
      </c>
      <c r="BK33" s="33">
        <v>0</v>
      </c>
    </row>
    <row r="34" spans="1:63" ht="39" customHeight="1" x14ac:dyDescent="0.35">
      <c r="A34" s="1"/>
      <c r="B34" s="1"/>
      <c r="C34" s="2"/>
      <c r="D34" s="12" t="s">
        <v>93</v>
      </c>
      <c r="E34" s="22">
        <v>1</v>
      </c>
      <c r="F34" s="22">
        <v>1</v>
      </c>
      <c r="G34" s="18">
        <v>1</v>
      </c>
      <c r="H34" s="23">
        <v>1</v>
      </c>
      <c r="I34" s="23">
        <v>1</v>
      </c>
      <c r="J34" s="23">
        <v>1</v>
      </c>
      <c r="K34" s="23">
        <v>1</v>
      </c>
      <c r="L34" s="23">
        <v>1</v>
      </c>
      <c r="M34" s="23">
        <v>1</v>
      </c>
      <c r="N34" s="23">
        <v>1</v>
      </c>
      <c r="O34" s="24">
        <v>1</v>
      </c>
      <c r="P34" s="31">
        <v>0</v>
      </c>
      <c r="Q34" s="33">
        <v>0</v>
      </c>
      <c r="R34" s="32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9">
        <v>0</v>
      </c>
      <c r="AD34" s="32">
        <v>0</v>
      </c>
      <c r="AE34" s="28">
        <v>0</v>
      </c>
      <c r="AF34" s="28">
        <v>0</v>
      </c>
      <c r="AG34" s="28">
        <v>0</v>
      </c>
      <c r="AH34" s="28">
        <v>0</v>
      </c>
      <c r="AI34" s="29">
        <v>0</v>
      </c>
      <c r="AJ34" s="32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9">
        <v>0</v>
      </c>
      <c r="AR34" s="32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9">
        <v>0</v>
      </c>
      <c r="BE34" s="32">
        <v>0</v>
      </c>
      <c r="BF34" s="28">
        <v>0</v>
      </c>
      <c r="BG34" s="29">
        <v>0</v>
      </c>
      <c r="BH34" s="33">
        <v>0</v>
      </c>
      <c r="BI34" s="33">
        <v>0</v>
      </c>
      <c r="BJ34" s="33">
        <v>0</v>
      </c>
      <c r="BK34" s="33">
        <v>0</v>
      </c>
    </row>
    <row r="35" spans="1:63" ht="39" customHeight="1" x14ac:dyDescent="0.35">
      <c r="A35" s="1"/>
      <c r="B35" s="1"/>
      <c r="C35" s="2"/>
      <c r="D35" s="12" t="s">
        <v>94</v>
      </c>
      <c r="E35" s="22">
        <v>1</v>
      </c>
      <c r="F35" s="22">
        <v>1</v>
      </c>
      <c r="G35" s="18">
        <v>1</v>
      </c>
      <c r="H35" s="23">
        <v>1</v>
      </c>
      <c r="I35" s="23">
        <v>1</v>
      </c>
      <c r="J35" s="23">
        <v>1</v>
      </c>
      <c r="K35" s="23">
        <v>1</v>
      </c>
      <c r="L35" s="23">
        <v>1</v>
      </c>
      <c r="M35" s="23">
        <v>1</v>
      </c>
      <c r="N35" s="23">
        <v>1</v>
      </c>
      <c r="O35" s="24">
        <v>1</v>
      </c>
      <c r="P35" s="20">
        <v>1</v>
      </c>
      <c r="Q35" s="33">
        <v>0</v>
      </c>
      <c r="R35" s="32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9">
        <v>0</v>
      </c>
      <c r="AD35" s="32">
        <v>0</v>
      </c>
      <c r="AE35" s="28">
        <v>0</v>
      </c>
      <c r="AF35" s="28">
        <v>0</v>
      </c>
      <c r="AG35" s="28">
        <v>0</v>
      </c>
      <c r="AH35" s="28">
        <v>0</v>
      </c>
      <c r="AI35" s="29">
        <v>0</v>
      </c>
      <c r="AJ35" s="32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9">
        <v>0</v>
      </c>
      <c r="AR35" s="32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9">
        <v>0</v>
      </c>
      <c r="BE35" s="32">
        <v>0</v>
      </c>
      <c r="BF35" s="28">
        <v>0</v>
      </c>
      <c r="BG35" s="29">
        <v>0</v>
      </c>
      <c r="BH35" s="33">
        <v>0</v>
      </c>
      <c r="BI35" s="33">
        <v>0</v>
      </c>
      <c r="BJ35" s="33">
        <v>0</v>
      </c>
      <c r="BK35" s="33">
        <v>0</v>
      </c>
    </row>
    <row r="36" spans="1:63" ht="39" customHeight="1" x14ac:dyDescent="0.35">
      <c r="A36" s="1"/>
      <c r="B36" s="1"/>
      <c r="C36" s="2"/>
      <c r="D36" s="12" t="s">
        <v>95</v>
      </c>
      <c r="E36" s="22">
        <v>1</v>
      </c>
      <c r="F36" s="22">
        <v>1</v>
      </c>
      <c r="G36" s="23">
        <v>1</v>
      </c>
      <c r="H36" s="23">
        <v>1</v>
      </c>
      <c r="I36" s="37">
        <v>0.5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9">
        <v>0</v>
      </c>
      <c r="P36" s="31">
        <v>0</v>
      </c>
      <c r="Q36" s="33">
        <v>0</v>
      </c>
      <c r="R36" s="32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9">
        <v>0</v>
      </c>
      <c r="AD36" s="32">
        <v>0</v>
      </c>
      <c r="AE36" s="28">
        <v>0</v>
      </c>
      <c r="AF36" s="28">
        <v>0</v>
      </c>
      <c r="AG36" s="28">
        <v>0</v>
      </c>
      <c r="AH36" s="28">
        <v>0</v>
      </c>
      <c r="AI36" s="29">
        <v>0</v>
      </c>
      <c r="AJ36" s="32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9">
        <v>0</v>
      </c>
      <c r="AR36" s="32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9">
        <v>0</v>
      </c>
      <c r="BE36" s="32">
        <v>0</v>
      </c>
      <c r="BF36" s="28">
        <v>0</v>
      </c>
      <c r="BG36" s="29">
        <v>0</v>
      </c>
      <c r="BH36" s="33">
        <v>0</v>
      </c>
      <c r="BI36" s="33">
        <v>0</v>
      </c>
      <c r="BJ36" s="33">
        <v>0</v>
      </c>
      <c r="BK36" s="33">
        <v>0</v>
      </c>
    </row>
    <row r="37" spans="1:63" ht="39" customHeight="1" x14ac:dyDescent="0.35">
      <c r="A37" s="1"/>
      <c r="B37" s="1"/>
      <c r="C37" s="2"/>
      <c r="D37" s="12" t="s">
        <v>96</v>
      </c>
      <c r="E37" s="22">
        <v>1</v>
      </c>
      <c r="F37" s="22">
        <v>1</v>
      </c>
      <c r="G37" s="18">
        <v>1</v>
      </c>
      <c r="H37" s="23">
        <v>1</v>
      </c>
      <c r="I37" s="23">
        <v>1</v>
      </c>
      <c r="J37" s="23">
        <v>1</v>
      </c>
      <c r="K37" s="37">
        <v>0.1</v>
      </c>
      <c r="L37" s="38">
        <v>0.5</v>
      </c>
      <c r="M37" s="38">
        <v>0</v>
      </c>
      <c r="N37" s="38">
        <v>0</v>
      </c>
      <c r="O37" s="39">
        <v>0</v>
      </c>
      <c r="P37" s="31">
        <v>0</v>
      </c>
      <c r="Q37" s="33">
        <v>0</v>
      </c>
      <c r="R37" s="32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9">
        <v>0</v>
      </c>
      <c r="AD37" s="32">
        <v>0</v>
      </c>
      <c r="AE37" s="28">
        <v>0</v>
      </c>
      <c r="AF37" s="28">
        <v>0</v>
      </c>
      <c r="AG37" s="28">
        <v>0</v>
      </c>
      <c r="AH37" s="28">
        <v>0</v>
      </c>
      <c r="AI37" s="29">
        <v>0</v>
      </c>
      <c r="AJ37" s="32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9">
        <v>0</v>
      </c>
      <c r="AR37" s="32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9">
        <v>0</v>
      </c>
      <c r="BE37" s="32">
        <v>0</v>
      </c>
      <c r="BF37" s="28">
        <v>0</v>
      </c>
      <c r="BG37" s="29">
        <v>0</v>
      </c>
      <c r="BH37" s="33">
        <v>0</v>
      </c>
      <c r="BI37" s="33">
        <v>0</v>
      </c>
      <c r="BJ37" s="33">
        <v>0</v>
      </c>
      <c r="BK37" s="33">
        <v>0</v>
      </c>
    </row>
    <row r="38" spans="1:63" ht="39" customHeight="1" x14ac:dyDescent="0.35">
      <c r="A38" s="1"/>
      <c r="B38" s="1"/>
      <c r="C38" s="2"/>
      <c r="D38" s="12" t="s">
        <v>97</v>
      </c>
      <c r="E38" s="22">
        <v>1</v>
      </c>
      <c r="F38" s="22">
        <v>1</v>
      </c>
      <c r="G38" s="18">
        <v>1</v>
      </c>
      <c r="H38" s="23">
        <v>1</v>
      </c>
      <c r="I38" s="23">
        <v>1</v>
      </c>
      <c r="J38" s="23">
        <v>1</v>
      </c>
      <c r="K38" s="38">
        <v>0</v>
      </c>
      <c r="L38" s="38">
        <v>0.6</v>
      </c>
      <c r="M38" s="38">
        <v>0</v>
      </c>
      <c r="N38" s="38">
        <v>0</v>
      </c>
      <c r="O38" s="39">
        <v>0</v>
      </c>
      <c r="P38" s="31">
        <v>0</v>
      </c>
      <c r="Q38" s="33">
        <v>0</v>
      </c>
      <c r="R38" s="32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9">
        <v>0</v>
      </c>
      <c r="AD38" s="32">
        <v>0</v>
      </c>
      <c r="AE38" s="28">
        <v>0</v>
      </c>
      <c r="AF38" s="28">
        <v>0</v>
      </c>
      <c r="AG38" s="28">
        <v>0</v>
      </c>
      <c r="AH38" s="28">
        <v>0</v>
      </c>
      <c r="AI38" s="29">
        <v>0</v>
      </c>
      <c r="AJ38" s="32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9">
        <v>0</v>
      </c>
      <c r="AR38" s="32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9">
        <v>0</v>
      </c>
      <c r="BE38" s="32">
        <v>0</v>
      </c>
      <c r="BF38" s="28">
        <v>0</v>
      </c>
      <c r="BG38" s="29">
        <v>0</v>
      </c>
      <c r="BH38" s="33">
        <v>0</v>
      </c>
      <c r="BI38" s="33">
        <v>0</v>
      </c>
      <c r="BJ38" s="33">
        <v>0</v>
      </c>
      <c r="BK38" s="33">
        <v>0</v>
      </c>
    </row>
    <row r="39" spans="1:63" ht="39" customHeight="1" x14ac:dyDescent="0.35">
      <c r="A39" s="1"/>
      <c r="B39" s="1"/>
      <c r="C39" s="2"/>
      <c r="D39" s="12" t="s">
        <v>98</v>
      </c>
      <c r="E39" s="22">
        <v>1</v>
      </c>
      <c r="F39" s="22">
        <v>1</v>
      </c>
      <c r="G39" s="18">
        <v>1</v>
      </c>
      <c r="H39" s="23">
        <v>1</v>
      </c>
      <c r="I39" s="23">
        <v>1</v>
      </c>
      <c r="J39" s="23">
        <v>1</v>
      </c>
      <c r="K39" s="23">
        <v>1</v>
      </c>
      <c r="L39" s="38">
        <v>0</v>
      </c>
      <c r="M39" s="38">
        <v>0</v>
      </c>
      <c r="N39" s="38">
        <v>0</v>
      </c>
      <c r="O39" s="39">
        <v>0</v>
      </c>
      <c r="P39" s="31">
        <v>0</v>
      </c>
      <c r="Q39" s="33">
        <v>0</v>
      </c>
      <c r="R39" s="32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9">
        <v>0</v>
      </c>
      <c r="AD39" s="32">
        <v>0</v>
      </c>
      <c r="AE39" s="28">
        <v>0</v>
      </c>
      <c r="AF39" s="28">
        <v>0</v>
      </c>
      <c r="AG39" s="28">
        <v>0</v>
      </c>
      <c r="AH39" s="28">
        <v>0</v>
      </c>
      <c r="AI39" s="29">
        <v>0</v>
      </c>
      <c r="AJ39" s="32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9">
        <v>0</v>
      </c>
      <c r="AR39" s="32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9">
        <v>0</v>
      </c>
      <c r="BE39" s="32">
        <v>0</v>
      </c>
      <c r="BF39" s="28">
        <v>0</v>
      </c>
      <c r="BG39" s="29">
        <v>0</v>
      </c>
      <c r="BH39" s="33">
        <v>0</v>
      </c>
      <c r="BI39" s="33">
        <v>0</v>
      </c>
      <c r="BJ39" s="33">
        <v>0</v>
      </c>
      <c r="BK39" s="33">
        <v>0</v>
      </c>
    </row>
    <row r="40" spans="1:63" ht="39" customHeight="1" x14ac:dyDescent="0.35">
      <c r="A40" s="1"/>
      <c r="B40" s="1"/>
      <c r="C40" s="2"/>
      <c r="D40" s="12" t="s">
        <v>99</v>
      </c>
      <c r="E40" s="22">
        <v>1</v>
      </c>
      <c r="F40" s="22">
        <v>1</v>
      </c>
      <c r="G40" s="18">
        <v>1</v>
      </c>
      <c r="H40" s="23">
        <v>1</v>
      </c>
      <c r="I40" s="23">
        <v>1</v>
      </c>
      <c r="J40" s="23">
        <v>1</v>
      </c>
      <c r="K40" s="23">
        <v>1</v>
      </c>
      <c r="L40" s="23">
        <v>1</v>
      </c>
      <c r="M40" s="38">
        <v>0</v>
      </c>
      <c r="N40" s="38">
        <v>0</v>
      </c>
      <c r="O40" s="39">
        <v>0</v>
      </c>
      <c r="P40" s="31">
        <v>0</v>
      </c>
      <c r="Q40" s="33">
        <v>0</v>
      </c>
      <c r="R40" s="32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9">
        <v>0</v>
      </c>
      <c r="AD40" s="32">
        <v>0</v>
      </c>
      <c r="AE40" s="28">
        <v>0</v>
      </c>
      <c r="AF40" s="28">
        <v>0</v>
      </c>
      <c r="AG40" s="28">
        <v>0</v>
      </c>
      <c r="AH40" s="28">
        <v>0</v>
      </c>
      <c r="AI40" s="29">
        <v>0</v>
      </c>
      <c r="AJ40" s="32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9">
        <v>0</v>
      </c>
      <c r="AR40" s="32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9">
        <v>0</v>
      </c>
      <c r="BE40" s="32">
        <v>0</v>
      </c>
      <c r="BF40" s="28">
        <v>0</v>
      </c>
      <c r="BG40" s="29">
        <v>0</v>
      </c>
      <c r="BH40" s="33">
        <v>0</v>
      </c>
      <c r="BI40" s="33">
        <v>0</v>
      </c>
      <c r="BJ40" s="33">
        <v>0</v>
      </c>
      <c r="BK40" s="33">
        <v>0</v>
      </c>
    </row>
    <row r="41" spans="1:63" ht="39" customHeight="1" x14ac:dyDescent="0.35">
      <c r="A41" s="1"/>
      <c r="B41" s="1"/>
      <c r="C41" s="2"/>
      <c r="D41" s="12" t="s">
        <v>100</v>
      </c>
      <c r="E41" s="22">
        <v>1</v>
      </c>
      <c r="F41" s="22">
        <v>1</v>
      </c>
      <c r="G41" s="18">
        <v>1</v>
      </c>
      <c r="H41" s="23">
        <v>1</v>
      </c>
      <c r="I41" s="23">
        <v>1</v>
      </c>
      <c r="J41" s="23">
        <v>1</v>
      </c>
      <c r="K41" s="23">
        <v>1</v>
      </c>
      <c r="L41" s="23">
        <v>1</v>
      </c>
      <c r="M41" s="38">
        <v>0</v>
      </c>
      <c r="N41" s="38">
        <v>0</v>
      </c>
      <c r="O41" s="39">
        <v>0</v>
      </c>
      <c r="P41" s="31">
        <v>0</v>
      </c>
      <c r="Q41" s="33">
        <v>0</v>
      </c>
      <c r="R41" s="32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9">
        <v>0</v>
      </c>
      <c r="AD41" s="32">
        <v>0</v>
      </c>
      <c r="AE41" s="28">
        <v>0</v>
      </c>
      <c r="AF41" s="28">
        <v>0</v>
      </c>
      <c r="AG41" s="28">
        <v>0</v>
      </c>
      <c r="AH41" s="28">
        <v>0</v>
      </c>
      <c r="AI41" s="29">
        <v>0</v>
      </c>
      <c r="AJ41" s="32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9">
        <v>0</v>
      </c>
      <c r="AR41" s="32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9">
        <v>0</v>
      </c>
      <c r="BE41" s="32">
        <v>0</v>
      </c>
      <c r="BF41" s="28">
        <v>0</v>
      </c>
      <c r="BG41" s="29">
        <v>0</v>
      </c>
      <c r="BH41" s="33">
        <v>0</v>
      </c>
      <c r="BI41" s="33">
        <v>0</v>
      </c>
      <c r="BJ41" s="33">
        <v>0</v>
      </c>
      <c r="BK41" s="33">
        <v>0</v>
      </c>
    </row>
    <row r="42" spans="1:63" ht="39" customHeight="1" x14ac:dyDescent="0.35">
      <c r="A42" s="1"/>
      <c r="B42" s="1"/>
      <c r="C42" s="2"/>
      <c r="D42" s="12" t="s">
        <v>101</v>
      </c>
      <c r="E42" s="22">
        <v>1</v>
      </c>
      <c r="F42" s="22">
        <v>1</v>
      </c>
      <c r="G42" s="22">
        <v>1</v>
      </c>
      <c r="H42" s="22">
        <v>1</v>
      </c>
      <c r="I42" s="22">
        <v>1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9">
        <v>0</v>
      </c>
      <c r="P42" s="31">
        <v>0</v>
      </c>
      <c r="Q42" s="33">
        <v>0</v>
      </c>
      <c r="R42" s="32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9">
        <v>0</v>
      </c>
      <c r="AD42" s="32">
        <v>0</v>
      </c>
      <c r="AE42" s="28">
        <v>0</v>
      </c>
      <c r="AF42" s="28">
        <v>0</v>
      </c>
      <c r="AG42" s="28">
        <v>0</v>
      </c>
      <c r="AH42" s="28">
        <v>0</v>
      </c>
      <c r="AI42" s="29">
        <v>0</v>
      </c>
      <c r="AJ42" s="32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9">
        <v>0</v>
      </c>
      <c r="AR42" s="32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9">
        <v>0</v>
      </c>
      <c r="BE42" s="32">
        <v>0</v>
      </c>
      <c r="BF42" s="28">
        <v>0</v>
      </c>
      <c r="BG42" s="29">
        <v>0</v>
      </c>
      <c r="BH42" s="33">
        <v>0</v>
      </c>
      <c r="BI42" s="33">
        <v>0</v>
      </c>
      <c r="BJ42" s="33">
        <v>0</v>
      </c>
      <c r="BK42" s="33">
        <v>0</v>
      </c>
    </row>
    <row r="43" spans="1:63" ht="39" customHeight="1" x14ac:dyDescent="0.35">
      <c r="A43" s="1"/>
      <c r="B43" s="1"/>
      <c r="C43" s="2"/>
      <c r="D43" s="12" t="s">
        <v>102</v>
      </c>
      <c r="E43" s="22">
        <v>1</v>
      </c>
      <c r="F43" s="22">
        <v>1</v>
      </c>
      <c r="G43" s="18">
        <v>1</v>
      </c>
      <c r="H43" s="23">
        <v>1</v>
      </c>
      <c r="I43" s="23">
        <v>1</v>
      </c>
      <c r="J43" s="23">
        <v>1</v>
      </c>
      <c r="K43" s="38">
        <v>0.5</v>
      </c>
      <c r="L43" s="38">
        <v>0.5</v>
      </c>
      <c r="M43" s="38">
        <v>0</v>
      </c>
      <c r="N43" s="38">
        <v>0</v>
      </c>
      <c r="O43" s="39">
        <v>0</v>
      </c>
      <c r="P43" s="31">
        <v>0</v>
      </c>
      <c r="Q43" s="33">
        <v>0</v>
      </c>
      <c r="R43" s="32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9">
        <v>0</v>
      </c>
      <c r="AD43" s="32">
        <v>0</v>
      </c>
      <c r="AE43" s="28">
        <v>0</v>
      </c>
      <c r="AF43" s="28">
        <v>0</v>
      </c>
      <c r="AG43" s="28">
        <v>0</v>
      </c>
      <c r="AH43" s="28">
        <v>0</v>
      </c>
      <c r="AI43" s="29">
        <v>0</v>
      </c>
      <c r="AJ43" s="32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9">
        <v>0</v>
      </c>
      <c r="AR43" s="32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9">
        <v>0</v>
      </c>
      <c r="BE43" s="32">
        <v>0</v>
      </c>
      <c r="BF43" s="28">
        <v>0</v>
      </c>
      <c r="BG43" s="29">
        <v>0</v>
      </c>
      <c r="BH43" s="33">
        <v>0</v>
      </c>
      <c r="BI43" s="33">
        <v>0</v>
      </c>
      <c r="BJ43" s="33">
        <v>0</v>
      </c>
      <c r="BK43" s="33">
        <v>0</v>
      </c>
    </row>
    <row r="44" spans="1:63" ht="39" customHeight="1" x14ac:dyDescent="0.35">
      <c r="A44" s="1"/>
      <c r="B44" s="1"/>
      <c r="C44" s="2"/>
      <c r="D44" s="12" t="s">
        <v>103</v>
      </c>
      <c r="E44" s="22">
        <v>1</v>
      </c>
      <c r="F44" s="22">
        <v>1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9">
        <v>0</v>
      </c>
      <c r="P44" s="31">
        <v>0</v>
      </c>
      <c r="Q44" s="33">
        <v>0</v>
      </c>
      <c r="R44" s="32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9">
        <v>0</v>
      </c>
      <c r="AD44" s="32">
        <v>0</v>
      </c>
      <c r="AE44" s="28">
        <v>0</v>
      </c>
      <c r="AF44" s="28">
        <v>0</v>
      </c>
      <c r="AG44" s="28">
        <v>0</v>
      </c>
      <c r="AH44" s="28">
        <v>0</v>
      </c>
      <c r="AI44" s="29">
        <v>0</v>
      </c>
      <c r="AJ44" s="32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9">
        <v>0</v>
      </c>
      <c r="AR44" s="32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9">
        <v>0</v>
      </c>
      <c r="BE44" s="32">
        <v>0</v>
      </c>
      <c r="BF44" s="28">
        <v>0</v>
      </c>
      <c r="BG44" s="29">
        <v>0</v>
      </c>
      <c r="BH44" s="33">
        <v>0</v>
      </c>
      <c r="BI44" s="33">
        <v>0</v>
      </c>
      <c r="BJ44" s="33">
        <v>0</v>
      </c>
      <c r="BK44" s="33">
        <v>0</v>
      </c>
    </row>
    <row r="45" spans="1:63" ht="39" customHeight="1" x14ac:dyDescent="0.35">
      <c r="A45" s="1"/>
      <c r="B45" s="1"/>
      <c r="C45" s="2"/>
      <c r="D45" s="12" t="s">
        <v>104</v>
      </c>
      <c r="E45" s="22">
        <v>1</v>
      </c>
      <c r="F45" s="22">
        <v>1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9">
        <v>0</v>
      </c>
      <c r="P45" s="31">
        <v>0</v>
      </c>
      <c r="Q45" s="33">
        <v>0</v>
      </c>
      <c r="R45" s="32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9">
        <v>0</v>
      </c>
      <c r="AD45" s="32">
        <v>0</v>
      </c>
      <c r="AE45" s="28">
        <v>0</v>
      </c>
      <c r="AF45" s="28">
        <v>0</v>
      </c>
      <c r="AG45" s="28">
        <v>0</v>
      </c>
      <c r="AH45" s="28">
        <v>0</v>
      </c>
      <c r="AI45" s="29">
        <v>0</v>
      </c>
      <c r="AJ45" s="32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9">
        <v>0</v>
      </c>
      <c r="AR45" s="32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9">
        <v>0</v>
      </c>
      <c r="BE45" s="32">
        <v>0</v>
      </c>
      <c r="BF45" s="28">
        <v>0</v>
      </c>
      <c r="BG45" s="29">
        <v>0</v>
      </c>
      <c r="BH45" s="33">
        <v>0</v>
      </c>
      <c r="BI45" s="33">
        <v>0</v>
      </c>
      <c r="BJ45" s="33">
        <v>0</v>
      </c>
      <c r="BK45" s="33">
        <v>0</v>
      </c>
    </row>
    <row r="46" spans="1:63" ht="39" customHeight="1" x14ac:dyDescent="0.35">
      <c r="A46" s="1"/>
      <c r="B46" s="1"/>
      <c r="C46" s="2"/>
      <c r="D46" s="12" t="s">
        <v>105</v>
      </c>
      <c r="E46" s="22">
        <v>1</v>
      </c>
      <c r="F46" s="22">
        <v>1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9">
        <v>0</v>
      </c>
      <c r="P46" s="31">
        <v>0</v>
      </c>
      <c r="Q46" s="33">
        <v>0</v>
      </c>
      <c r="R46" s="32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9">
        <v>0</v>
      </c>
      <c r="AD46" s="32">
        <v>0</v>
      </c>
      <c r="AE46" s="28">
        <v>0</v>
      </c>
      <c r="AF46" s="28">
        <v>0</v>
      </c>
      <c r="AG46" s="28">
        <v>0</v>
      </c>
      <c r="AH46" s="28">
        <v>0</v>
      </c>
      <c r="AI46" s="29">
        <v>0</v>
      </c>
      <c r="AJ46" s="32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9">
        <v>0</v>
      </c>
      <c r="AR46" s="32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9">
        <v>0</v>
      </c>
      <c r="BE46" s="32">
        <v>0</v>
      </c>
      <c r="BF46" s="28">
        <v>0</v>
      </c>
      <c r="BG46" s="29">
        <v>0</v>
      </c>
      <c r="BH46" s="33">
        <v>0</v>
      </c>
      <c r="BI46" s="33">
        <v>0</v>
      </c>
      <c r="BJ46" s="33">
        <v>0</v>
      </c>
      <c r="BK46" s="33">
        <v>0</v>
      </c>
    </row>
    <row r="47" spans="1:63" ht="39" customHeight="1" x14ac:dyDescent="0.35">
      <c r="A47" s="1"/>
      <c r="B47" s="1"/>
      <c r="C47" s="2"/>
      <c r="D47" s="12" t="s">
        <v>106</v>
      </c>
      <c r="E47" s="20">
        <v>1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9">
        <v>0</v>
      </c>
      <c r="P47" s="31">
        <v>0</v>
      </c>
      <c r="Q47" s="33">
        <v>0</v>
      </c>
      <c r="R47" s="32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9">
        <v>0</v>
      </c>
      <c r="AD47" s="32">
        <v>0</v>
      </c>
      <c r="AE47" s="28">
        <v>0</v>
      </c>
      <c r="AF47" s="28">
        <v>0</v>
      </c>
      <c r="AG47" s="28">
        <v>0</v>
      </c>
      <c r="AH47" s="28">
        <v>0</v>
      </c>
      <c r="AI47" s="29">
        <v>0</v>
      </c>
      <c r="AJ47" s="32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9">
        <v>0</v>
      </c>
      <c r="AR47" s="32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9">
        <v>0</v>
      </c>
      <c r="BE47" s="32">
        <v>0</v>
      </c>
      <c r="BF47" s="28">
        <v>0</v>
      </c>
      <c r="BG47" s="29">
        <v>0</v>
      </c>
      <c r="BH47" s="33">
        <v>0</v>
      </c>
      <c r="BI47" s="33">
        <v>0</v>
      </c>
      <c r="BJ47" s="33">
        <v>0</v>
      </c>
      <c r="BK47" s="33">
        <v>0</v>
      </c>
    </row>
    <row r="48" spans="1:63" ht="39" customHeight="1" x14ac:dyDescent="0.35">
      <c r="A48" s="1"/>
      <c r="B48" s="1"/>
      <c r="C48" s="2"/>
      <c r="D48" s="12" t="s">
        <v>107</v>
      </c>
      <c r="E48" s="22">
        <v>1</v>
      </c>
      <c r="F48" s="22">
        <v>1</v>
      </c>
      <c r="G48" s="18">
        <v>1</v>
      </c>
      <c r="H48" s="23">
        <v>1</v>
      </c>
      <c r="I48" s="23">
        <v>1</v>
      </c>
      <c r="J48" s="23">
        <v>1</v>
      </c>
      <c r="K48" s="37">
        <v>0.5</v>
      </c>
      <c r="L48" s="38">
        <v>0</v>
      </c>
      <c r="M48" s="38">
        <v>0</v>
      </c>
      <c r="N48" s="38">
        <v>0</v>
      </c>
      <c r="O48" s="39">
        <v>0</v>
      </c>
      <c r="P48" s="31">
        <v>0</v>
      </c>
      <c r="Q48" s="33">
        <v>0</v>
      </c>
      <c r="R48" s="32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9">
        <v>0</v>
      </c>
      <c r="AD48" s="32">
        <v>0</v>
      </c>
      <c r="AE48" s="28">
        <v>0</v>
      </c>
      <c r="AF48" s="28">
        <v>0</v>
      </c>
      <c r="AG48" s="28">
        <v>0</v>
      </c>
      <c r="AH48" s="28">
        <v>0</v>
      </c>
      <c r="AI48" s="29">
        <v>0</v>
      </c>
      <c r="AJ48" s="32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9">
        <v>0</v>
      </c>
      <c r="AR48" s="32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9">
        <v>0</v>
      </c>
      <c r="BE48" s="32">
        <v>0</v>
      </c>
      <c r="BF48" s="28">
        <v>0</v>
      </c>
      <c r="BG48" s="29">
        <v>0</v>
      </c>
      <c r="BH48" s="33">
        <v>0</v>
      </c>
      <c r="BI48" s="33">
        <v>0</v>
      </c>
      <c r="BJ48" s="33">
        <v>0</v>
      </c>
      <c r="BK48" s="33">
        <v>0</v>
      </c>
    </row>
    <row r="49" spans="1:63" ht="39" customHeight="1" x14ac:dyDescent="0.35">
      <c r="A49" s="1"/>
      <c r="B49" s="1"/>
      <c r="C49" s="2"/>
      <c r="D49" s="12" t="s">
        <v>108</v>
      </c>
      <c r="E49" s="22">
        <v>1</v>
      </c>
      <c r="F49" s="22">
        <v>1</v>
      </c>
      <c r="G49" s="22">
        <v>1</v>
      </c>
      <c r="H49" s="22">
        <v>1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9">
        <v>0</v>
      </c>
      <c r="P49" s="31">
        <v>0</v>
      </c>
      <c r="Q49" s="33">
        <v>0</v>
      </c>
      <c r="R49" s="32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9">
        <v>0</v>
      </c>
      <c r="AD49" s="32">
        <v>0</v>
      </c>
      <c r="AE49" s="28">
        <v>0</v>
      </c>
      <c r="AF49" s="28">
        <v>0</v>
      </c>
      <c r="AG49" s="28">
        <v>0</v>
      </c>
      <c r="AH49" s="28">
        <v>0</v>
      </c>
      <c r="AI49" s="29">
        <v>0</v>
      </c>
      <c r="AJ49" s="32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9">
        <v>0</v>
      </c>
      <c r="AR49" s="32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9">
        <v>0</v>
      </c>
      <c r="BE49" s="32">
        <v>0</v>
      </c>
      <c r="BF49" s="28">
        <v>0</v>
      </c>
      <c r="BG49" s="29">
        <v>0</v>
      </c>
      <c r="BH49" s="33">
        <v>0</v>
      </c>
      <c r="BI49" s="33">
        <v>0</v>
      </c>
      <c r="BJ49" s="33">
        <v>0</v>
      </c>
      <c r="BK49" s="33">
        <v>0</v>
      </c>
    </row>
    <row r="50" spans="1:63" ht="39" customHeight="1" x14ac:dyDescent="0.35">
      <c r="A50" s="1"/>
      <c r="B50" s="1"/>
      <c r="C50" s="2"/>
      <c r="D50" s="12" t="s">
        <v>109</v>
      </c>
      <c r="E50" s="22">
        <v>1</v>
      </c>
      <c r="F50" s="22">
        <v>1</v>
      </c>
      <c r="G50" s="23">
        <v>1</v>
      </c>
      <c r="H50" s="23">
        <v>1</v>
      </c>
      <c r="I50" s="23">
        <v>1</v>
      </c>
      <c r="J50" s="23">
        <v>1</v>
      </c>
      <c r="K50" s="38">
        <v>0</v>
      </c>
      <c r="L50" s="38">
        <v>0</v>
      </c>
      <c r="M50" s="38">
        <v>0</v>
      </c>
      <c r="N50" s="38">
        <v>0</v>
      </c>
      <c r="O50" s="39">
        <v>0</v>
      </c>
      <c r="P50" s="31">
        <v>0</v>
      </c>
      <c r="Q50" s="33">
        <v>0</v>
      </c>
      <c r="R50" s="32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9">
        <v>0</v>
      </c>
      <c r="AD50" s="32">
        <v>0</v>
      </c>
      <c r="AE50" s="28">
        <v>0</v>
      </c>
      <c r="AF50" s="28">
        <v>0</v>
      </c>
      <c r="AG50" s="28">
        <v>0</v>
      </c>
      <c r="AH50" s="28">
        <v>0</v>
      </c>
      <c r="AI50" s="29">
        <v>0</v>
      </c>
      <c r="AJ50" s="32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9">
        <v>0</v>
      </c>
      <c r="AR50" s="32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9">
        <v>0</v>
      </c>
      <c r="BE50" s="32">
        <v>0</v>
      </c>
      <c r="BF50" s="28">
        <v>0</v>
      </c>
      <c r="BG50" s="29">
        <v>0</v>
      </c>
      <c r="BH50" s="33">
        <v>0</v>
      </c>
      <c r="BI50" s="33">
        <v>0</v>
      </c>
      <c r="BJ50" s="33">
        <v>0</v>
      </c>
      <c r="BK50" s="33">
        <v>0</v>
      </c>
    </row>
    <row r="51" spans="1:63" ht="39" customHeight="1" x14ac:dyDescent="0.35">
      <c r="A51" s="1"/>
      <c r="B51" s="1"/>
      <c r="C51" s="2"/>
      <c r="D51" s="12" t="s">
        <v>110</v>
      </c>
      <c r="E51" s="22">
        <v>1</v>
      </c>
      <c r="F51" s="22">
        <v>1</v>
      </c>
      <c r="G51" s="22">
        <v>1</v>
      </c>
      <c r="H51" s="22">
        <v>1</v>
      </c>
      <c r="I51" s="22">
        <v>1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9">
        <v>0</v>
      </c>
      <c r="P51" s="31">
        <v>0</v>
      </c>
      <c r="Q51" s="33">
        <v>0</v>
      </c>
      <c r="R51" s="32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9">
        <v>0</v>
      </c>
      <c r="AD51" s="32">
        <v>0</v>
      </c>
      <c r="AE51" s="28">
        <v>0</v>
      </c>
      <c r="AF51" s="28">
        <v>0</v>
      </c>
      <c r="AG51" s="28">
        <v>0</v>
      </c>
      <c r="AH51" s="28">
        <v>0</v>
      </c>
      <c r="AI51" s="29">
        <v>0</v>
      </c>
      <c r="AJ51" s="32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9">
        <v>0</v>
      </c>
      <c r="AR51" s="32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9">
        <v>0</v>
      </c>
      <c r="BE51" s="32">
        <v>0</v>
      </c>
      <c r="BF51" s="28">
        <v>0</v>
      </c>
      <c r="BG51" s="29">
        <v>0</v>
      </c>
      <c r="BH51" s="33">
        <v>0</v>
      </c>
      <c r="BI51" s="33">
        <v>0</v>
      </c>
      <c r="BJ51" s="33">
        <v>0</v>
      </c>
      <c r="BK51" s="33">
        <v>0</v>
      </c>
    </row>
    <row r="52" spans="1:63" ht="39" customHeight="1" x14ac:dyDescent="0.35">
      <c r="A52" s="1"/>
      <c r="B52" s="1"/>
      <c r="C52" s="2"/>
      <c r="D52" s="12" t="s">
        <v>111</v>
      </c>
      <c r="E52" s="22">
        <v>1</v>
      </c>
      <c r="F52" s="40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9">
        <v>0</v>
      </c>
      <c r="P52" s="31">
        <v>0</v>
      </c>
      <c r="Q52" s="33">
        <v>0</v>
      </c>
      <c r="R52" s="32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9">
        <v>0</v>
      </c>
      <c r="AD52" s="32">
        <v>0</v>
      </c>
      <c r="AE52" s="28">
        <v>0</v>
      </c>
      <c r="AF52" s="28">
        <v>0</v>
      </c>
      <c r="AG52" s="28">
        <v>0</v>
      </c>
      <c r="AH52" s="28">
        <v>0</v>
      </c>
      <c r="AI52" s="29">
        <v>0</v>
      </c>
      <c r="AJ52" s="32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9">
        <v>0</v>
      </c>
      <c r="AR52" s="32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9">
        <v>0</v>
      </c>
      <c r="BE52" s="32">
        <v>0</v>
      </c>
      <c r="BF52" s="28">
        <v>0</v>
      </c>
      <c r="BG52" s="29">
        <v>0</v>
      </c>
      <c r="BH52" s="33">
        <v>0</v>
      </c>
      <c r="BI52" s="33">
        <v>0</v>
      </c>
      <c r="BJ52" s="33">
        <v>0</v>
      </c>
      <c r="BK52" s="33">
        <v>0</v>
      </c>
    </row>
    <row r="53" spans="1:63" ht="39" customHeight="1" x14ac:dyDescent="0.35">
      <c r="A53" s="1"/>
      <c r="B53" s="1"/>
      <c r="C53" s="2"/>
      <c r="D53" s="12" t="s">
        <v>112</v>
      </c>
      <c r="E53" s="22">
        <v>1</v>
      </c>
      <c r="F53" s="22">
        <v>1</v>
      </c>
      <c r="G53" s="23">
        <v>1</v>
      </c>
      <c r="H53" s="23">
        <v>1</v>
      </c>
      <c r="I53" s="23">
        <v>1</v>
      </c>
      <c r="J53" s="23">
        <v>1</v>
      </c>
      <c r="K53" s="38">
        <v>0</v>
      </c>
      <c r="L53" s="38">
        <v>0</v>
      </c>
      <c r="M53" s="38">
        <v>0</v>
      </c>
      <c r="N53" s="38">
        <v>0</v>
      </c>
      <c r="O53" s="39">
        <v>0</v>
      </c>
      <c r="P53" s="31">
        <v>0</v>
      </c>
      <c r="Q53" s="33">
        <v>0</v>
      </c>
      <c r="R53" s="32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9">
        <v>0</v>
      </c>
      <c r="AD53" s="32">
        <v>0</v>
      </c>
      <c r="AE53" s="28">
        <v>0</v>
      </c>
      <c r="AF53" s="28">
        <v>0</v>
      </c>
      <c r="AG53" s="28">
        <v>0</v>
      </c>
      <c r="AH53" s="28">
        <v>0</v>
      </c>
      <c r="AI53" s="29">
        <v>0</v>
      </c>
      <c r="AJ53" s="32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9">
        <v>0</v>
      </c>
      <c r="AR53" s="32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9">
        <v>0</v>
      </c>
      <c r="BE53" s="32">
        <v>0</v>
      </c>
      <c r="BF53" s="28">
        <v>0</v>
      </c>
      <c r="BG53" s="29">
        <v>0</v>
      </c>
      <c r="BH53" s="33">
        <v>0</v>
      </c>
      <c r="BI53" s="33">
        <v>0</v>
      </c>
      <c r="BJ53" s="33">
        <v>0</v>
      </c>
      <c r="BK53" s="33">
        <v>0</v>
      </c>
    </row>
    <row r="54" spans="1:63" ht="39" customHeight="1" x14ac:dyDescent="0.35">
      <c r="A54" s="1"/>
      <c r="B54" s="1"/>
      <c r="C54" s="2"/>
      <c r="D54" s="12" t="s">
        <v>113</v>
      </c>
      <c r="E54" s="20">
        <v>1</v>
      </c>
      <c r="F54" s="40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9">
        <v>0</v>
      </c>
      <c r="P54" s="31">
        <v>0</v>
      </c>
      <c r="Q54" s="33">
        <v>0</v>
      </c>
      <c r="R54" s="32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9">
        <v>0</v>
      </c>
      <c r="AD54" s="32">
        <v>0</v>
      </c>
      <c r="AE54" s="28">
        <v>0</v>
      </c>
      <c r="AF54" s="28">
        <v>0</v>
      </c>
      <c r="AG54" s="28">
        <v>0</v>
      </c>
      <c r="AH54" s="28">
        <v>0</v>
      </c>
      <c r="AI54" s="29">
        <v>0</v>
      </c>
      <c r="AJ54" s="32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9">
        <v>0</v>
      </c>
      <c r="AR54" s="32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9">
        <v>0</v>
      </c>
      <c r="BE54" s="32">
        <v>0</v>
      </c>
      <c r="BF54" s="28">
        <v>0</v>
      </c>
      <c r="BG54" s="29">
        <v>0</v>
      </c>
      <c r="BH54" s="33">
        <v>0</v>
      </c>
      <c r="BI54" s="33">
        <v>0</v>
      </c>
      <c r="BJ54" s="33">
        <v>0</v>
      </c>
      <c r="BK54" s="33">
        <v>0</v>
      </c>
    </row>
    <row r="55" spans="1:63" ht="39" customHeight="1" x14ac:dyDescent="0.35">
      <c r="A55" s="1"/>
      <c r="B55" s="1"/>
      <c r="C55" s="2"/>
      <c r="D55" s="12" t="s">
        <v>114</v>
      </c>
      <c r="E55" s="20">
        <v>1</v>
      </c>
      <c r="F55" s="22">
        <v>1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9">
        <v>0</v>
      </c>
      <c r="P55" s="31">
        <v>0</v>
      </c>
      <c r="Q55" s="33">
        <v>0</v>
      </c>
      <c r="R55" s="32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9">
        <v>0</v>
      </c>
      <c r="AD55" s="32">
        <v>0</v>
      </c>
      <c r="AE55" s="28">
        <v>0</v>
      </c>
      <c r="AF55" s="28">
        <v>0</v>
      </c>
      <c r="AG55" s="28">
        <v>0</v>
      </c>
      <c r="AH55" s="28">
        <v>0</v>
      </c>
      <c r="AI55" s="29">
        <v>0</v>
      </c>
      <c r="AJ55" s="32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9">
        <v>0</v>
      </c>
      <c r="AR55" s="32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9">
        <v>0</v>
      </c>
      <c r="BE55" s="32">
        <v>0</v>
      </c>
      <c r="BF55" s="28">
        <v>0</v>
      </c>
      <c r="BG55" s="29">
        <v>0</v>
      </c>
      <c r="BH55" s="33">
        <v>0</v>
      </c>
      <c r="BI55" s="33">
        <v>0</v>
      </c>
      <c r="BJ55" s="33">
        <v>0</v>
      </c>
      <c r="BK55" s="33">
        <v>0</v>
      </c>
    </row>
    <row r="56" spans="1:63" ht="39" customHeight="1" x14ac:dyDescent="0.35">
      <c r="A56" s="1"/>
      <c r="B56" s="1"/>
      <c r="C56" s="2"/>
      <c r="D56" s="12" t="s">
        <v>115</v>
      </c>
      <c r="E56" s="20">
        <v>1</v>
      </c>
      <c r="F56" s="22">
        <v>1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9">
        <v>0</v>
      </c>
      <c r="P56" s="31">
        <v>0</v>
      </c>
      <c r="Q56" s="33">
        <v>0</v>
      </c>
      <c r="R56" s="32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9">
        <v>0</v>
      </c>
      <c r="AD56" s="32">
        <v>0</v>
      </c>
      <c r="AE56" s="28">
        <v>0</v>
      </c>
      <c r="AF56" s="28">
        <v>0</v>
      </c>
      <c r="AG56" s="28">
        <v>0</v>
      </c>
      <c r="AH56" s="28">
        <v>0</v>
      </c>
      <c r="AI56" s="29">
        <v>0</v>
      </c>
      <c r="AJ56" s="32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9">
        <v>0</v>
      </c>
      <c r="AR56" s="32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9">
        <v>0</v>
      </c>
      <c r="BE56" s="32">
        <v>0</v>
      </c>
      <c r="BF56" s="28">
        <v>0</v>
      </c>
      <c r="BG56" s="29">
        <v>0</v>
      </c>
      <c r="BH56" s="33">
        <v>0</v>
      </c>
      <c r="BI56" s="33">
        <v>0</v>
      </c>
      <c r="BJ56" s="33">
        <v>0</v>
      </c>
      <c r="BK56" s="33">
        <v>0</v>
      </c>
    </row>
    <row r="57" spans="1:63" ht="39" customHeight="1" x14ac:dyDescent="0.35">
      <c r="A57" s="1"/>
      <c r="B57" s="1"/>
      <c r="C57" s="2"/>
      <c r="D57" s="12" t="s">
        <v>116</v>
      </c>
      <c r="E57" s="20">
        <v>1</v>
      </c>
      <c r="F57" s="22">
        <v>1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9">
        <v>0</v>
      </c>
      <c r="P57" s="31">
        <v>0</v>
      </c>
      <c r="Q57" s="33">
        <v>0</v>
      </c>
      <c r="R57" s="32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9">
        <v>0</v>
      </c>
      <c r="AD57" s="32">
        <v>0</v>
      </c>
      <c r="AE57" s="28">
        <v>0</v>
      </c>
      <c r="AF57" s="28">
        <v>0</v>
      </c>
      <c r="AG57" s="28">
        <v>0</v>
      </c>
      <c r="AH57" s="28">
        <v>0</v>
      </c>
      <c r="AI57" s="29">
        <v>0</v>
      </c>
      <c r="AJ57" s="32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0</v>
      </c>
      <c r="AQ57" s="29">
        <v>0</v>
      </c>
      <c r="AR57" s="32">
        <v>0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9">
        <v>0</v>
      </c>
      <c r="BE57" s="32">
        <v>0</v>
      </c>
      <c r="BF57" s="28">
        <v>0</v>
      </c>
      <c r="BG57" s="29">
        <v>0</v>
      </c>
      <c r="BH57" s="33">
        <v>0</v>
      </c>
      <c r="BI57" s="33">
        <v>0</v>
      </c>
      <c r="BJ57" s="33">
        <v>0</v>
      </c>
      <c r="BK57" s="33">
        <v>0</v>
      </c>
    </row>
    <row r="58" spans="1:63" ht="39" customHeight="1" x14ac:dyDescent="0.35">
      <c r="A58" s="1"/>
      <c r="B58" s="1"/>
      <c r="C58" s="2"/>
      <c r="D58" s="41" t="s">
        <v>117</v>
      </c>
      <c r="E58" s="20">
        <v>1</v>
      </c>
      <c r="F58" s="20">
        <v>1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9">
        <v>0</v>
      </c>
      <c r="P58" s="31">
        <v>0</v>
      </c>
      <c r="Q58" s="33">
        <v>0</v>
      </c>
      <c r="R58" s="32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9">
        <v>0</v>
      </c>
      <c r="AD58" s="32">
        <v>0</v>
      </c>
      <c r="AE58" s="28">
        <v>0</v>
      </c>
      <c r="AF58" s="28">
        <v>0</v>
      </c>
      <c r="AG58" s="28">
        <v>0</v>
      </c>
      <c r="AH58" s="28">
        <v>0</v>
      </c>
      <c r="AI58" s="29">
        <v>0</v>
      </c>
      <c r="AJ58" s="32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9">
        <v>0</v>
      </c>
      <c r="AR58" s="32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9">
        <v>0</v>
      </c>
      <c r="BE58" s="32">
        <v>0</v>
      </c>
      <c r="BF58" s="28">
        <v>0</v>
      </c>
      <c r="BG58" s="29">
        <v>0</v>
      </c>
      <c r="BH58" s="33">
        <v>0</v>
      </c>
      <c r="BI58" s="33">
        <v>0</v>
      </c>
      <c r="BJ58" s="33">
        <v>0</v>
      </c>
      <c r="BK58" s="33">
        <v>0</v>
      </c>
    </row>
    <row r="59" spans="1:63" ht="39" customHeight="1" x14ac:dyDescent="0.35">
      <c r="A59" s="1"/>
      <c r="B59" s="1"/>
      <c r="C59" s="2"/>
      <c r="D59" s="12" t="s">
        <v>118</v>
      </c>
      <c r="E59" s="20">
        <v>1</v>
      </c>
      <c r="F59" s="20">
        <v>1</v>
      </c>
      <c r="G59" s="20">
        <v>1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9">
        <v>0</v>
      </c>
      <c r="P59" s="31">
        <v>0</v>
      </c>
      <c r="Q59" s="33">
        <v>0</v>
      </c>
      <c r="R59" s="32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9">
        <v>0</v>
      </c>
      <c r="AD59" s="32">
        <v>0</v>
      </c>
      <c r="AE59" s="28">
        <v>0</v>
      </c>
      <c r="AF59" s="28">
        <v>0</v>
      </c>
      <c r="AG59" s="28">
        <v>0</v>
      </c>
      <c r="AH59" s="28">
        <v>0</v>
      </c>
      <c r="AI59" s="29">
        <v>0</v>
      </c>
      <c r="AJ59" s="32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9">
        <v>0</v>
      </c>
      <c r="AR59" s="32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9">
        <v>0</v>
      </c>
      <c r="BE59" s="32">
        <v>0</v>
      </c>
      <c r="BF59" s="28">
        <v>0</v>
      </c>
      <c r="BG59" s="29">
        <v>0</v>
      </c>
      <c r="BH59" s="33">
        <v>0</v>
      </c>
      <c r="BI59" s="33">
        <v>0</v>
      </c>
      <c r="BJ59" s="33">
        <v>0</v>
      </c>
      <c r="BK59" s="33">
        <v>0</v>
      </c>
    </row>
    <row r="60" spans="1:63" ht="39" customHeight="1" x14ac:dyDescent="0.35">
      <c r="A60" s="1"/>
      <c r="B60" s="1"/>
      <c r="C60" s="2"/>
      <c r="D60" s="12" t="s">
        <v>119</v>
      </c>
      <c r="E60" s="20">
        <v>1</v>
      </c>
      <c r="F60" s="40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9">
        <v>0</v>
      </c>
      <c r="P60" s="31">
        <v>0</v>
      </c>
      <c r="Q60" s="33">
        <v>0</v>
      </c>
      <c r="R60" s="32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9">
        <v>0</v>
      </c>
      <c r="AD60" s="32">
        <v>0</v>
      </c>
      <c r="AE60" s="28">
        <v>0</v>
      </c>
      <c r="AF60" s="28">
        <v>0</v>
      </c>
      <c r="AG60" s="28">
        <v>0</v>
      </c>
      <c r="AH60" s="28">
        <v>0</v>
      </c>
      <c r="AI60" s="29">
        <v>0</v>
      </c>
      <c r="AJ60" s="32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9">
        <v>0</v>
      </c>
      <c r="AR60" s="32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9">
        <v>0</v>
      </c>
      <c r="BE60" s="32">
        <v>0</v>
      </c>
      <c r="BF60" s="28">
        <v>0</v>
      </c>
      <c r="BG60" s="29">
        <v>0</v>
      </c>
      <c r="BH60" s="33">
        <v>0</v>
      </c>
      <c r="BI60" s="33">
        <v>0</v>
      </c>
      <c r="BJ60" s="33">
        <v>0</v>
      </c>
      <c r="BK60" s="33">
        <v>0</v>
      </c>
    </row>
    <row r="61" spans="1:63" ht="39" customHeight="1" x14ac:dyDescent="0.35">
      <c r="A61" s="1"/>
      <c r="B61" s="1"/>
      <c r="C61" s="2"/>
      <c r="D61" s="12" t="s">
        <v>120</v>
      </c>
      <c r="E61" s="20">
        <v>1</v>
      </c>
      <c r="F61" s="40">
        <v>0</v>
      </c>
      <c r="G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9">
        <v>0</v>
      </c>
      <c r="P61" s="31">
        <v>0</v>
      </c>
      <c r="Q61" s="33">
        <v>0</v>
      </c>
      <c r="R61" s="32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9">
        <v>0</v>
      </c>
      <c r="AD61" s="32">
        <v>0</v>
      </c>
      <c r="AE61" s="28">
        <v>0</v>
      </c>
      <c r="AF61" s="28">
        <v>0</v>
      </c>
      <c r="AG61" s="28">
        <v>0</v>
      </c>
      <c r="AH61" s="28">
        <v>0</v>
      </c>
      <c r="AI61" s="29">
        <v>0</v>
      </c>
      <c r="AJ61" s="32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9">
        <v>0</v>
      </c>
      <c r="AR61" s="32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9">
        <v>0</v>
      </c>
      <c r="BE61" s="32">
        <v>0</v>
      </c>
      <c r="BF61" s="28">
        <v>0</v>
      </c>
      <c r="BG61" s="29">
        <v>0</v>
      </c>
      <c r="BH61" s="33">
        <v>0</v>
      </c>
      <c r="BI61" s="33">
        <v>0</v>
      </c>
      <c r="BJ61" s="33">
        <v>0</v>
      </c>
      <c r="BK61" s="33">
        <v>0</v>
      </c>
    </row>
    <row r="62" spans="1:63" ht="39" customHeight="1" x14ac:dyDescent="0.35">
      <c r="A62" s="1"/>
      <c r="B62" s="1"/>
      <c r="C62" s="2"/>
      <c r="D62" s="12" t="s">
        <v>121</v>
      </c>
      <c r="E62" s="31">
        <v>0</v>
      </c>
      <c r="F62" s="40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9">
        <v>0</v>
      </c>
      <c r="P62" s="31">
        <v>0</v>
      </c>
      <c r="Q62" s="33">
        <v>0</v>
      </c>
      <c r="R62" s="32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9">
        <v>0</v>
      </c>
      <c r="AD62" s="32">
        <v>0</v>
      </c>
      <c r="AE62" s="28">
        <v>0</v>
      </c>
      <c r="AF62" s="28">
        <v>0</v>
      </c>
      <c r="AG62" s="28">
        <v>0</v>
      </c>
      <c r="AH62" s="28">
        <v>0</v>
      </c>
      <c r="AI62" s="29">
        <v>0</v>
      </c>
      <c r="AJ62" s="32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9">
        <v>0</v>
      </c>
      <c r="AR62" s="32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9">
        <v>0</v>
      </c>
      <c r="BE62" s="32">
        <v>0</v>
      </c>
      <c r="BF62" s="28">
        <v>0</v>
      </c>
      <c r="BG62" s="29">
        <v>0</v>
      </c>
      <c r="BH62" s="33">
        <v>0</v>
      </c>
      <c r="BI62" s="33">
        <v>0</v>
      </c>
      <c r="BJ62" s="33">
        <v>0</v>
      </c>
      <c r="BK62" s="33">
        <v>0</v>
      </c>
    </row>
    <row r="63" spans="1:63" ht="39" customHeight="1" x14ac:dyDescent="0.35">
      <c r="A63" s="1"/>
      <c r="B63" s="1"/>
      <c r="C63" s="2"/>
      <c r="D63" s="12" t="s">
        <v>122</v>
      </c>
      <c r="E63" s="31">
        <v>0</v>
      </c>
      <c r="F63" s="40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9">
        <v>0</v>
      </c>
      <c r="P63" s="31">
        <v>0</v>
      </c>
      <c r="Q63" s="33">
        <v>0</v>
      </c>
      <c r="R63" s="32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9">
        <v>0</v>
      </c>
      <c r="AD63" s="32">
        <v>0</v>
      </c>
      <c r="AE63" s="28">
        <v>0</v>
      </c>
      <c r="AF63" s="28">
        <v>0</v>
      </c>
      <c r="AG63" s="28">
        <v>0</v>
      </c>
      <c r="AH63" s="28">
        <v>0</v>
      </c>
      <c r="AI63" s="29">
        <v>0</v>
      </c>
      <c r="AJ63" s="32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9">
        <v>0</v>
      </c>
      <c r="AR63" s="32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9">
        <v>0</v>
      </c>
      <c r="BE63" s="32">
        <v>0</v>
      </c>
      <c r="BF63" s="28">
        <v>0</v>
      </c>
      <c r="BG63" s="29">
        <v>0</v>
      </c>
      <c r="BH63" s="33">
        <v>0</v>
      </c>
      <c r="BI63" s="33">
        <v>0</v>
      </c>
      <c r="BJ63" s="33">
        <v>0</v>
      </c>
      <c r="BK63" s="33">
        <v>0</v>
      </c>
    </row>
    <row r="64" spans="1:63" ht="39" customHeight="1" x14ac:dyDescent="0.35">
      <c r="A64" s="1"/>
      <c r="B64" s="1"/>
      <c r="C64" s="2"/>
      <c r="D64" s="12" t="s">
        <v>123</v>
      </c>
      <c r="E64" s="31">
        <v>0</v>
      </c>
      <c r="F64" s="40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9">
        <v>0</v>
      </c>
      <c r="P64" s="31">
        <v>0</v>
      </c>
      <c r="Q64" s="33">
        <v>0</v>
      </c>
      <c r="R64" s="32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9">
        <v>0</v>
      </c>
      <c r="AD64" s="32">
        <v>0</v>
      </c>
      <c r="AE64" s="28">
        <v>0</v>
      </c>
      <c r="AF64" s="28">
        <v>0</v>
      </c>
      <c r="AG64" s="28">
        <v>0</v>
      </c>
      <c r="AH64" s="28">
        <v>0</v>
      </c>
      <c r="AI64" s="29">
        <v>0</v>
      </c>
      <c r="AJ64" s="32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9">
        <v>0</v>
      </c>
      <c r="AR64" s="32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9">
        <v>0</v>
      </c>
      <c r="BE64" s="32">
        <v>0</v>
      </c>
      <c r="BF64" s="28">
        <v>0</v>
      </c>
      <c r="BG64" s="29">
        <v>0</v>
      </c>
      <c r="BH64" s="33">
        <v>0</v>
      </c>
      <c r="BI64" s="33">
        <v>0</v>
      </c>
      <c r="BJ64" s="33">
        <v>0</v>
      </c>
      <c r="BK64" s="33">
        <v>0</v>
      </c>
    </row>
    <row r="65" spans="1:63" ht="39" customHeight="1" x14ac:dyDescent="0.35">
      <c r="A65" s="1"/>
      <c r="B65" s="1"/>
      <c r="C65" s="2"/>
      <c r="D65" s="12" t="s">
        <v>124</v>
      </c>
      <c r="E65" s="31">
        <v>0</v>
      </c>
      <c r="F65" s="40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9">
        <v>0</v>
      </c>
      <c r="P65" s="31">
        <v>0</v>
      </c>
      <c r="Q65" s="33">
        <v>0</v>
      </c>
      <c r="R65" s="32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9">
        <v>0</v>
      </c>
      <c r="AD65" s="32">
        <v>0</v>
      </c>
      <c r="AE65" s="28">
        <v>0</v>
      </c>
      <c r="AF65" s="28">
        <v>0</v>
      </c>
      <c r="AG65" s="28">
        <v>0</v>
      </c>
      <c r="AH65" s="28">
        <v>0</v>
      </c>
      <c r="AI65" s="29">
        <v>0</v>
      </c>
      <c r="AJ65" s="32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0</v>
      </c>
      <c r="AQ65" s="29">
        <v>0</v>
      </c>
      <c r="AR65" s="32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9">
        <v>0</v>
      </c>
      <c r="BE65" s="32">
        <v>0</v>
      </c>
      <c r="BF65" s="28">
        <v>0</v>
      </c>
      <c r="BG65" s="29">
        <v>0</v>
      </c>
      <c r="BH65" s="33">
        <v>0</v>
      </c>
      <c r="BI65" s="33">
        <v>0</v>
      </c>
      <c r="BJ65" s="33">
        <v>0</v>
      </c>
      <c r="BK65" s="33">
        <v>0</v>
      </c>
    </row>
    <row r="66" spans="1:63" ht="39" customHeight="1" x14ac:dyDescent="0.35">
      <c r="A66" s="1"/>
      <c r="B66" s="1"/>
      <c r="C66" s="2"/>
      <c r="D66" s="12" t="s">
        <v>125</v>
      </c>
      <c r="E66" s="31">
        <v>0</v>
      </c>
      <c r="F66" s="40">
        <v>0</v>
      </c>
      <c r="G66" s="38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9">
        <v>0</v>
      </c>
      <c r="P66" s="31">
        <v>0</v>
      </c>
      <c r="Q66" s="33">
        <v>0</v>
      </c>
      <c r="R66" s="32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9">
        <v>0</v>
      </c>
      <c r="AD66" s="32">
        <v>0</v>
      </c>
      <c r="AE66" s="28">
        <v>0</v>
      </c>
      <c r="AF66" s="28">
        <v>0</v>
      </c>
      <c r="AG66" s="28">
        <v>0</v>
      </c>
      <c r="AH66" s="28">
        <v>0</v>
      </c>
      <c r="AI66" s="29">
        <v>0</v>
      </c>
      <c r="AJ66" s="32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9">
        <v>0</v>
      </c>
      <c r="AR66" s="32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9">
        <v>0</v>
      </c>
      <c r="BE66" s="32">
        <v>0</v>
      </c>
      <c r="BF66" s="28">
        <v>0</v>
      </c>
      <c r="BG66" s="29">
        <v>0</v>
      </c>
      <c r="BH66" s="33">
        <v>0</v>
      </c>
      <c r="BI66" s="33">
        <v>0</v>
      </c>
      <c r="BJ66" s="33">
        <v>0</v>
      </c>
      <c r="BK66" s="33">
        <v>0</v>
      </c>
    </row>
    <row r="67" spans="1:63" ht="39" customHeight="1" x14ac:dyDescent="0.35">
      <c r="A67" s="1"/>
      <c r="B67" s="1"/>
      <c r="C67" s="2"/>
      <c r="D67" s="12" t="s">
        <v>126</v>
      </c>
      <c r="E67" s="31">
        <v>0</v>
      </c>
      <c r="F67" s="40">
        <v>0</v>
      </c>
      <c r="G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9">
        <v>0</v>
      </c>
      <c r="P67" s="31">
        <v>0</v>
      </c>
      <c r="Q67" s="33">
        <v>0</v>
      </c>
      <c r="R67" s="32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9">
        <v>0</v>
      </c>
      <c r="AD67" s="32">
        <v>0</v>
      </c>
      <c r="AE67" s="28">
        <v>0</v>
      </c>
      <c r="AF67" s="28">
        <v>0</v>
      </c>
      <c r="AG67" s="28">
        <v>0</v>
      </c>
      <c r="AH67" s="28">
        <v>0</v>
      </c>
      <c r="AI67" s="29">
        <v>0</v>
      </c>
      <c r="AJ67" s="32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9">
        <v>0</v>
      </c>
      <c r="AR67" s="32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9">
        <v>0</v>
      </c>
      <c r="BE67" s="32">
        <v>0</v>
      </c>
      <c r="BF67" s="28">
        <v>0</v>
      </c>
      <c r="BG67" s="29">
        <v>0</v>
      </c>
      <c r="BH67" s="33">
        <v>0</v>
      </c>
      <c r="BI67" s="33">
        <v>0</v>
      </c>
      <c r="BJ67" s="33">
        <v>0</v>
      </c>
      <c r="BK67" s="33">
        <v>0</v>
      </c>
    </row>
    <row r="68" spans="1:63" ht="39" customHeight="1" x14ac:dyDescent="0.35">
      <c r="A68" s="1"/>
      <c r="B68" s="1"/>
      <c r="C68" s="2"/>
      <c r="D68" s="12" t="s">
        <v>127</v>
      </c>
      <c r="E68" s="31">
        <v>0</v>
      </c>
      <c r="F68" s="40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9">
        <v>0</v>
      </c>
      <c r="P68" s="31">
        <v>0</v>
      </c>
      <c r="Q68" s="33">
        <v>0</v>
      </c>
      <c r="R68" s="32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9">
        <v>0</v>
      </c>
      <c r="AD68" s="32">
        <v>0</v>
      </c>
      <c r="AE68" s="28">
        <v>0</v>
      </c>
      <c r="AF68" s="28">
        <v>0</v>
      </c>
      <c r="AG68" s="28">
        <v>0</v>
      </c>
      <c r="AH68" s="28">
        <v>0</v>
      </c>
      <c r="AI68" s="29">
        <v>0</v>
      </c>
      <c r="AJ68" s="32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9">
        <v>0</v>
      </c>
      <c r="AR68" s="32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9">
        <v>0</v>
      </c>
      <c r="BE68" s="32">
        <v>0</v>
      </c>
      <c r="BF68" s="28">
        <v>0</v>
      </c>
      <c r="BG68" s="29">
        <v>0</v>
      </c>
      <c r="BH68" s="33">
        <v>0</v>
      </c>
      <c r="BI68" s="33">
        <v>0</v>
      </c>
      <c r="BJ68" s="33">
        <v>0</v>
      </c>
      <c r="BK68" s="33">
        <v>0</v>
      </c>
    </row>
    <row r="69" spans="1:63" ht="39" customHeight="1" x14ac:dyDescent="0.35">
      <c r="A69" s="1"/>
      <c r="B69" s="1"/>
      <c r="C69" s="2"/>
      <c r="D69" s="12" t="s">
        <v>128</v>
      </c>
      <c r="E69" s="31">
        <v>0</v>
      </c>
      <c r="F69" s="40">
        <v>0</v>
      </c>
      <c r="G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9">
        <v>0</v>
      </c>
      <c r="P69" s="31">
        <v>0</v>
      </c>
      <c r="Q69" s="33">
        <v>0</v>
      </c>
      <c r="R69" s="32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9">
        <v>0</v>
      </c>
      <c r="AD69" s="32">
        <v>0</v>
      </c>
      <c r="AE69" s="28">
        <v>0</v>
      </c>
      <c r="AF69" s="28">
        <v>0</v>
      </c>
      <c r="AG69" s="28">
        <v>0</v>
      </c>
      <c r="AH69" s="28">
        <v>0</v>
      </c>
      <c r="AI69" s="29">
        <v>0</v>
      </c>
      <c r="AJ69" s="32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9">
        <v>0</v>
      </c>
      <c r="AR69" s="32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9">
        <v>0</v>
      </c>
      <c r="BE69" s="32">
        <v>0</v>
      </c>
      <c r="BF69" s="28">
        <v>0</v>
      </c>
      <c r="BG69" s="29">
        <v>0</v>
      </c>
      <c r="BH69" s="33">
        <v>0</v>
      </c>
      <c r="BI69" s="33">
        <v>0</v>
      </c>
      <c r="BJ69" s="33">
        <v>0</v>
      </c>
      <c r="BK69" s="33">
        <v>0</v>
      </c>
    </row>
    <row r="70" spans="1:63" ht="39" customHeight="1" x14ac:dyDescent="0.35">
      <c r="A70" s="1"/>
      <c r="B70" s="1"/>
      <c r="C70" s="2"/>
      <c r="D70" s="12" t="s">
        <v>129</v>
      </c>
      <c r="E70" s="31">
        <v>0</v>
      </c>
      <c r="F70" s="40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9">
        <v>0</v>
      </c>
      <c r="P70" s="31">
        <v>0</v>
      </c>
      <c r="Q70" s="33">
        <v>0</v>
      </c>
      <c r="R70" s="32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9">
        <v>0</v>
      </c>
      <c r="AD70" s="32">
        <v>0</v>
      </c>
      <c r="AE70" s="28">
        <v>0</v>
      </c>
      <c r="AF70" s="28">
        <v>0</v>
      </c>
      <c r="AG70" s="28">
        <v>0</v>
      </c>
      <c r="AH70" s="28">
        <v>0</v>
      </c>
      <c r="AI70" s="29">
        <v>0</v>
      </c>
      <c r="AJ70" s="32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9">
        <v>0</v>
      </c>
      <c r="AR70" s="32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9">
        <v>0</v>
      </c>
      <c r="BE70" s="32">
        <v>0</v>
      </c>
      <c r="BF70" s="28">
        <v>0</v>
      </c>
      <c r="BG70" s="29">
        <v>0</v>
      </c>
      <c r="BH70" s="33">
        <v>0</v>
      </c>
      <c r="BI70" s="33">
        <v>0</v>
      </c>
      <c r="BJ70" s="33">
        <v>0</v>
      </c>
      <c r="BK70" s="33">
        <v>0</v>
      </c>
    </row>
    <row r="71" spans="1:63" ht="39" customHeight="1" x14ac:dyDescent="0.35">
      <c r="A71" s="1"/>
      <c r="B71" s="1"/>
      <c r="C71" s="2"/>
      <c r="D71" s="12" t="s">
        <v>130</v>
      </c>
      <c r="E71" s="31">
        <v>0</v>
      </c>
      <c r="F71" s="40">
        <v>0</v>
      </c>
      <c r="G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9">
        <v>0</v>
      </c>
      <c r="P71" s="31">
        <v>0</v>
      </c>
      <c r="Q71" s="33">
        <v>0</v>
      </c>
      <c r="R71" s="32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9">
        <v>0</v>
      </c>
      <c r="AD71" s="32">
        <v>0</v>
      </c>
      <c r="AE71" s="28">
        <v>0</v>
      </c>
      <c r="AF71" s="28">
        <v>0</v>
      </c>
      <c r="AG71" s="28">
        <v>0</v>
      </c>
      <c r="AH71" s="28">
        <v>0</v>
      </c>
      <c r="AI71" s="29">
        <v>0</v>
      </c>
      <c r="AJ71" s="32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9">
        <v>0</v>
      </c>
      <c r="AR71" s="32">
        <v>0</v>
      </c>
      <c r="AS71" s="28">
        <v>0</v>
      </c>
      <c r="AT71" s="28">
        <v>0</v>
      </c>
      <c r="AU71" s="28">
        <v>0</v>
      </c>
      <c r="AV71" s="28">
        <v>0</v>
      </c>
      <c r="AW71" s="28">
        <v>0</v>
      </c>
      <c r="AX71" s="28">
        <v>0</v>
      </c>
      <c r="AY71" s="28">
        <v>0</v>
      </c>
      <c r="AZ71" s="28">
        <v>0</v>
      </c>
      <c r="BA71" s="28">
        <v>0</v>
      </c>
      <c r="BB71" s="28">
        <v>0</v>
      </c>
      <c r="BC71" s="28">
        <v>0</v>
      </c>
      <c r="BD71" s="29">
        <v>0</v>
      </c>
      <c r="BE71" s="32">
        <v>0</v>
      </c>
      <c r="BF71" s="28">
        <v>0</v>
      </c>
      <c r="BG71" s="29">
        <v>0</v>
      </c>
      <c r="BH71" s="33">
        <v>0</v>
      </c>
      <c r="BI71" s="33">
        <v>0</v>
      </c>
      <c r="BJ71" s="33">
        <v>0</v>
      </c>
      <c r="BK71" s="33">
        <v>0</v>
      </c>
    </row>
    <row r="72" spans="1:63" ht="39" customHeight="1" x14ac:dyDescent="0.35">
      <c r="A72" s="1"/>
      <c r="B72" s="1"/>
      <c r="C72" s="2"/>
      <c r="D72" s="12" t="s">
        <v>131</v>
      </c>
      <c r="E72" s="31">
        <v>0</v>
      </c>
      <c r="F72" s="40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9">
        <v>0</v>
      </c>
      <c r="P72" s="31">
        <v>0</v>
      </c>
      <c r="Q72" s="33">
        <v>0</v>
      </c>
      <c r="R72" s="32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9">
        <v>0</v>
      </c>
      <c r="AD72" s="32">
        <v>0</v>
      </c>
      <c r="AE72" s="28">
        <v>0</v>
      </c>
      <c r="AF72" s="28">
        <v>0</v>
      </c>
      <c r="AG72" s="28">
        <v>0</v>
      </c>
      <c r="AH72" s="28">
        <v>0</v>
      </c>
      <c r="AI72" s="29">
        <v>0</v>
      </c>
      <c r="AJ72" s="32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9">
        <v>0</v>
      </c>
      <c r="AR72" s="32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9">
        <v>0</v>
      </c>
      <c r="BE72" s="32">
        <v>0</v>
      </c>
      <c r="BF72" s="28">
        <v>0</v>
      </c>
      <c r="BG72" s="29">
        <v>0</v>
      </c>
      <c r="BH72" s="33">
        <v>0</v>
      </c>
      <c r="BI72" s="33">
        <v>0</v>
      </c>
      <c r="BJ72" s="33">
        <v>0</v>
      </c>
      <c r="BK72" s="33">
        <v>0</v>
      </c>
    </row>
    <row r="73" spans="1:63" ht="39" customHeight="1" x14ac:dyDescent="0.35">
      <c r="A73" s="1"/>
      <c r="B73" s="1"/>
      <c r="C73" s="2"/>
      <c r="D73" s="12" t="s">
        <v>132</v>
      </c>
      <c r="E73" s="31">
        <v>0</v>
      </c>
      <c r="F73" s="40">
        <v>0</v>
      </c>
      <c r="G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9">
        <v>0</v>
      </c>
      <c r="P73" s="31">
        <v>0</v>
      </c>
      <c r="Q73" s="33">
        <v>0</v>
      </c>
      <c r="R73" s="32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9">
        <v>0</v>
      </c>
      <c r="AD73" s="32">
        <v>0</v>
      </c>
      <c r="AE73" s="28">
        <v>0</v>
      </c>
      <c r="AF73" s="28">
        <v>0</v>
      </c>
      <c r="AG73" s="28">
        <v>0</v>
      </c>
      <c r="AH73" s="28">
        <v>0</v>
      </c>
      <c r="AI73" s="29">
        <v>0</v>
      </c>
      <c r="AJ73" s="32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9">
        <v>0</v>
      </c>
      <c r="AR73" s="32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9">
        <v>0</v>
      </c>
      <c r="BE73" s="32">
        <v>0</v>
      </c>
      <c r="BF73" s="28">
        <v>0</v>
      </c>
      <c r="BG73" s="29">
        <v>0</v>
      </c>
      <c r="BH73" s="33">
        <v>0</v>
      </c>
      <c r="BI73" s="33">
        <v>0</v>
      </c>
      <c r="BJ73" s="33">
        <v>0</v>
      </c>
      <c r="BK73" s="33">
        <v>0</v>
      </c>
    </row>
    <row r="74" spans="1:63" ht="39" customHeight="1" x14ac:dyDescent="0.35">
      <c r="A74" s="1"/>
      <c r="B74" s="1"/>
      <c r="C74" s="2"/>
      <c r="D74" s="12" t="s">
        <v>133</v>
      </c>
      <c r="E74" s="31">
        <v>0</v>
      </c>
      <c r="F74" s="40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9">
        <v>0</v>
      </c>
      <c r="P74" s="31">
        <v>0</v>
      </c>
      <c r="Q74" s="33">
        <v>0</v>
      </c>
      <c r="R74" s="32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9">
        <v>0</v>
      </c>
      <c r="AD74" s="32">
        <v>0</v>
      </c>
      <c r="AE74" s="28">
        <v>0</v>
      </c>
      <c r="AF74" s="28">
        <v>0</v>
      </c>
      <c r="AG74" s="28">
        <v>0</v>
      </c>
      <c r="AH74" s="28">
        <v>0</v>
      </c>
      <c r="AI74" s="29">
        <v>0</v>
      </c>
      <c r="AJ74" s="32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9">
        <v>0</v>
      </c>
      <c r="AR74" s="32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9">
        <v>0</v>
      </c>
      <c r="BE74" s="32">
        <v>0</v>
      </c>
      <c r="BF74" s="28">
        <v>0</v>
      </c>
      <c r="BG74" s="29">
        <v>0</v>
      </c>
      <c r="BH74" s="33">
        <v>0</v>
      </c>
      <c r="BI74" s="33">
        <v>0</v>
      </c>
      <c r="BJ74" s="33">
        <v>0</v>
      </c>
      <c r="BK74" s="33">
        <v>0</v>
      </c>
    </row>
    <row r="75" spans="1:63" ht="39" customHeight="1" x14ac:dyDescent="0.35">
      <c r="A75" s="1"/>
      <c r="B75" s="1"/>
      <c r="C75" s="2"/>
      <c r="D75" s="12" t="s">
        <v>134</v>
      </c>
      <c r="E75" s="31">
        <v>0</v>
      </c>
      <c r="F75" s="40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9">
        <v>0</v>
      </c>
      <c r="P75" s="31">
        <v>0</v>
      </c>
      <c r="Q75" s="33">
        <v>0</v>
      </c>
      <c r="R75" s="32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9">
        <v>0</v>
      </c>
      <c r="AD75" s="32">
        <v>0</v>
      </c>
      <c r="AE75" s="28">
        <v>0</v>
      </c>
      <c r="AF75" s="28">
        <v>0</v>
      </c>
      <c r="AG75" s="28">
        <v>0</v>
      </c>
      <c r="AH75" s="28">
        <v>0</v>
      </c>
      <c r="AI75" s="29">
        <v>0</v>
      </c>
      <c r="AJ75" s="32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9">
        <v>0</v>
      </c>
      <c r="AR75" s="32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9">
        <v>0</v>
      </c>
      <c r="BE75" s="32">
        <v>0</v>
      </c>
      <c r="BF75" s="28">
        <v>0</v>
      </c>
      <c r="BG75" s="29">
        <v>0</v>
      </c>
      <c r="BH75" s="33">
        <v>0</v>
      </c>
      <c r="BI75" s="33">
        <v>0</v>
      </c>
      <c r="BJ75" s="33">
        <v>0</v>
      </c>
      <c r="BK75" s="33">
        <v>0</v>
      </c>
    </row>
    <row r="76" spans="1:63" ht="39" customHeight="1" x14ac:dyDescent="0.35">
      <c r="A76" s="1"/>
      <c r="B76" s="1"/>
      <c r="C76" s="2"/>
      <c r="D76" s="12" t="s">
        <v>135</v>
      </c>
      <c r="E76" s="31">
        <v>0</v>
      </c>
      <c r="F76" s="40">
        <v>0</v>
      </c>
      <c r="G76" s="38">
        <v>0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9">
        <v>0</v>
      </c>
      <c r="P76" s="31">
        <v>0</v>
      </c>
      <c r="Q76" s="33">
        <v>0</v>
      </c>
      <c r="R76" s="32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9">
        <v>0</v>
      </c>
      <c r="AD76" s="32">
        <v>0</v>
      </c>
      <c r="AE76" s="28">
        <v>0</v>
      </c>
      <c r="AF76" s="28">
        <v>0</v>
      </c>
      <c r="AG76" s="28">
        <v>0</v>
      </c>
      <c r="AH76" s="28">
        <v>0</v>
      </c>
      <c r="AI76" s="29">
        <v>0</v>
      </c>
      <c r="AJ76" s="32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9">
        <v>0</v>
      </c>
      <c r="AR76" s="32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9">
        <v>0</v>
      </c>
      <c r="BE76" s="32">
        <v>0</v>
      </c>
      <c r="BF76" s="28">
        <v>0</v>
      </c>
      <c r="BG76" s="29">
        <v>0</v>
      </c>
      <c r="BH76" s="33">
        <v>0</v>
      </c>
      <c r="BI76" s="33">
        <v>0</v>
      </c>
      <c r="BJ76" s="33">
        <v>0</v>
      </c>
      <c r="BK76" s="33">
        <v>0</v>
      </c>
    </row>
    <row r="77" spans="1:63" ht="39" customHeight="1" x14ac:dyDescent="0.35">
      <c r="A77" s="1"/>
      <c r="B77" s="1"/>
      <c r="C77" s="2"/>
      <c r="D77" s="12" t="s">
        <v>136</v>
      </c>
      <c r="E77" s="31">
        <v>0</v>
      </c>
      <c r="F77" s="40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9">
        <v>0</v>
      </c>
      <c r="P77" s="31">
        <v>0</v>
      </c>
      <c r="Q77" s="33">
        <v>0</v>
      </c>
      <c r="R77" s="32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9">
        <v>0</v>
      </c>
      <c r="AD77" s="32">
        <v>0</v>
      </c>
      <c r="AE77" s="28">
        <v>0</v>
      </c>
      <c r="AF77" s="28">
        <v>0</v>
      </c>
      <c r="AG77" s="28">
        <v>0</v>
      </c>
      <c r="AH77" s="28">
        <v>0</v>
      </c>
      <c r="AI77" s="29">
        <v>0</v>
      </c>
      <c r="AJ77" s="32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9">
        <v>0</v>
      </c>
      <c r="AR77" s="32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9">
        <v>0</v>
      </c>
      <c r="BE77" s="32">
        <v>0</v>
      </c>
      <c r="BF77" s="28">
        <v>0</v>
      </c>
      <c r="BG77" s="29">
        <v>0</v>
      </c>
      <c r="BH77" s="33">
        <v>0</v>
      </c>
      <c r="BI77" s="33">
        <v>0</v>
      </c>
      <c r="BJ77" s="33">
        <v>0</v>
      </c>
      <c r="BK77" s="33">
        <v>0</v>
      </c>
    </row>
    <row r="78" spans="1:63" ht="39" customHeight="1" x14ac:dyDescent="0.35">
      <c r="A78" s="1"/>
      <c r="B78" s="1"/>
      <c r="C78" s="2"/>
      <c r="D78" s="12" t="s">
        <v>137</v>
      </c>
      <c r="E78" s="31">
        <v>0</v>
      </c>
      <c r="F78" s="40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9">
        <v>0</v>
      </c>
      <c r="P78" s="31">
        <v>0</v>
      </c>
      <c r="Q78" s="33">
        <v>0</v>
      </c>
      <c r="R78" s="32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9">
        <v>0</v>
      </c>
      <c r="AD78" s="32">
        <v>0</v>
      </c>
      <c r="AE78" s="28">
        <v>0</v>
      </c>
      <c r="AF78" s="28">
        <v>0</v>
      </c>
      <c r="AG78" s="28">
        <v>0</v>
      </c>
      <c r="AH78" s="28">
        <v>0</v>
      </c>
      <c r="AI78" s="29">
        <v>0</v>
      </c>
      <c r="AJ78" s="32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9">
        <v>0</v>
      </c>
      <c r="AR78" s="32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9">
        <v>0</v>
      </c>
      <c r="BE78" s="32">
        <v>0</v>
      </c>
      <c r="BF78" s="28">
        <v>0</v>
      </c>
      <c r="BG78" s="29">
        <v>0</v>
      </c>
      <c r="BH78" s="33">
        <v>0</v>
      </c>
      <c r="BI78" s="33">
        <v>0</v>
      </c>
      <c r="BJ78" s="33">
        <v>0</v>
      </c>
      <c r="BK78" s="33">
        <v>0</v>
      </c>
    </row>
    <row r="79" spans="1:63" ht="39" customHeight="1" x14ac:dyDescent="0.35">
      <c r="A79" s="1"/>
      <c r="B79" s="1"/>
      <c r="C79" s="2"/>
      <c r="D79" s="12" t="s">
        <v>138</v>
      </c>
      <c r="E79" s="31">
        <v>0</v>
      </c>
      <c r="F79" s="40">
        <v>0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9">
        <v>0</v>
      </c>
      <c r="P79" s="31">
        <v>0</v>
      </c>
      <c r="Q79" s="33">
        <v>0</v>
      </c>
      <c r="R79" s="32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9">
        <v>0</v>
      </c>
      <c r="AD79" s="32">
        <v>0</v>
      </c>
      <c r="AE79" s="28">
        <v>0</v>
      </c>
      <c r="AF79" s="28">
        <v>0</v>
      </c>
      <c r="AG79" s="28">
        <v>0</v>
      </c>
      <c r="AH79" s="28">
        <v>0</v>
      </c>
      <c r="AI79" s="29">
        <v>0</v>
      </c>
      <c r="AJ79" s="32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9">
        <v>0</v>
      </c>
      <c r="AR79" s="32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9">
        <v>0</v>
      </c>
      <c r="BE79" s="32">
        <v>0</v>
      </c>
      <c r="BF79" s="28">
        <v>0</v>
      </c>
      <c r="BG79" s="29">
        <v>0</v>
      </c>
      <c r="BH79" s="33">
        <v>0</v>
      </c>
      <c r="BI79" s="33">
        <v>0</v>
      </c>
      <c r="BJ79" s="33">
        <v>0</v>
      </c>
      <c r="BK79" s="33">
        <v>0</v>
      </c>
    </row>
    <row r="80" spans="1:63" ht="39" customHeight="1" x14ac:dyDescent="0.35">
      <c r="A80" s="1"/>
      <c r="B80" s="1"/>
      <c r="C80" s="2"/>
      <c r="D80" s="12" t="s">
        <v>139</v>
      </c>
      <c r="E80" s="31">
        <v>0</v>
      </c>
      <c r="F80" s="40">
        <v>0</v>
      </c>
      <c r="G80" s="38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9">
        <v>0</v>
      </c>
      <c r="P80" s="31">
        <v>0</v>
      </c>
      <c r="Q80" s="33">
        <v>0</v>
      </c>
      <c r="R80" s="32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9">
        <v>0</v>
      </c>
      <c r="AD80" s="32">
        <v>0</v>
      </c>
      <c r="AE80" s="28">
        <v>0</v>
      </c>
      <c r="AF80" s="28">
        <v>0</v>
      </c>
      <c r="AG80" s="28">
        <v>0</v>
      </c>
      <c r="AH80" s="28">
        <v>0</v>
      </c>
      <c r="AI80" s="29">
        <v>0</v>
      </c>
      <c r="AJ80" s="32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9">
        <v>0</v>
      </c>
      <c r="AR80" s="32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9">
        <v>0</v>
      </c>
      <c r="BE80" s="32">
        <v>0</v>
      </c>
      <c r="BF80" s="28">
        <v>0</v>
      </c>
      <c r="BG80" s="29">
        <v>0</v>
      </c>
      <c r="BH80" s="33">
        <v>0</v>
      </c>
      <c r="BI80" s="33">
        <v>0</v>
      </c>
      <c r="BJ80" s="33">
        <v>0</v>
      </c>
      <c r="BK80" s="33">
        <v>0</v>
      </c>
    </row>
    <row r="81" spans="1:63" ht="39" customHeight="1" x14ac:dyDescent="0.35">
      <c r="A81" s="1"/>
      <c r="B81" s="1"/>
      <c r="C81" s="2"/>
      <c r="D81" s="12" t="s">
        <v>140</v>
      </c>
      <c r="E81" s="31">
        <v>0</v>
      </c>
      <c r="F81" s="40">
        <v>0</v>
      </c>
      <c r="G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9">
        <v>0</v>
      </c>
      <c r="P81" s="31">
        <v>0</v>
      </c>
      <c r="Q81" s="33">
        <v>0</v>
      </c>
      <c r="R81" s="32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9">
        <v>0</v>
      </c>
      <c r="AD81" s="32">
        <v>0</v>
      </c>
      <c r="AE81" s="28">
        <v>0</v>
      </c>
      <c r="AF81" s="28">
        <v>0</v>
      </c>
      <c r="AG81" s="28">
        <v>0</v>
      </c>
      <c r="AH81" s="28">
        <v>0</v>
      </c>
      <c r="AI81" s="29">
        <v>0</v>
      </c>
      <c r="AJ81" s="32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9">
        <v>0</v>
      </c>
      <c r="AR81" s="32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9">
        <v>0</v>
      </c>
      <c r="BE81" s="32">
        <v>0</v>
      </c>
      <c r="BF81" s="28">
        <v>0</v>
      </c>
      <c r="BG81" s="29">
        <v>0</v>
      </c>
      <c r="BH81" s="33">
        <v>0</v>
      </c>
      <c r="BI81" s="33">
        <v>0</v>
      </c>
      <c r="BJ81" s="33">
        <v>0</v>
      </c>
      <c r="BK81" s="33">
        <v>0</v>
      </c>
    </row>
    <row r="82" spans="1:63" ht="39" customHeight="1" x14ac:dyDescent="0.35">
      <c r="A82" s="1"/>
      <c r="B82" s="1"/>
      <c r="C82" s="2"/>
      <c r="D82" s="12" t="s">
        <v>141</v>
      </c>
      <c r="E82" s="31">
        <v>0</v>
      </c>
      <c r="F82" s="40">
        <v>0</v>
      </c>
      <c r="G82" s="38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9">
        <v>0</v>
      </c>
      <c r="P82" s="31">
        <v>0</v>
      </c>
      <c r="Q82" s="33">
        <v>0</v>
      </c>
      <c r="R82" s="32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9">
        <v>0</v>
      </c>
      <c r="AD82" s="32">
        <v>0</v>
      </c>
      <c r="AE82" s="28">
        <v>0</v>
      </c>
      <c r="AF82" s="28">
        <v>0</v>
      </c>
      <c r="AG82" s="28">
        <v>0</v>
      </c>
      <c r="AH82" s="28">
        <v>0</v>
      </c>
      <c r="AI82" s="29">
        <v>0</v>
      </c>
      <c r="AJ82" s="32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9">
        <v>0</v>
      </c>
      <c r="AR82" s="32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9">
        <v>0</v>
      </c>
      <c r="BE82" s="32">
        <v>0</v>
      </c>
      <c r="BF82" s="28">
        <v>0</v>
      </c>
      <c r="BG82" s="29">
        <v>0</v>
      </c>
      <c r="BH82" s="33">
        <v>0</v>
      </c>
      <c r="BI82" s="33">
        <v>0</v>
      </c>
      <c r="BJ82" s="33">
        <v>0</v>
      </c>
      <c r="BK82" s="33">
        <v>0</v>
      </c>
    </row>
    <row r="83" spans="1:63" ht="39" customHeight="1" x14ac:dyDescent="0.35">
      <c r="A83" s="1"/>
      <c r="B83" s="1"/>
      <c r="C83" s="2"/>
      <c r="D83" s="12" t="s">
        <v>142</v>
      </c>
      <c r="E83" s="31">
        <v>0</v>
      </c>
      <c r="F83" s="40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9">
        <v>0</v>
      </c>
      <c r="P83" s="31">
        <v>0</v>
      </c>
      <c r="Q83" s="33">
        <v>0</v>
      </c>
      <c r="R83" s="32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9">
        <v>0</v>
      </c>
      <c r="AD83" s="32">
        <v>0</v>
      </c>
      <c r="AE83" s="28">
        <v>0</v>
      </c>
      <c r="AF83" s="28">
        <v>0</v>
      </c>
      <c r="AG83" s="28">
        <v>0</v>
      </c>
      <c r="AH83" s="28">
        <v>0</v>
      </c>
      <c r="AI83" s="29">
        <v>0</v>
      </c>
      <c r="AJ83" s="32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9">
        <v>0</v>
      </c>
      <c r="AR83" s="32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9">
        <v>0</v>
      </c>
      <c r="BE83" s="32">
        <v>0</v>
      </c>
      <c r="BF83" s="28">
        <v>0</v>
      </c>
      <c r="BG83" s="29">
        <v>0</v>
      </c>
      <c r="BH83" s="33">
        <v>0</v>
      </c>
      <c r="BI83" s="33">
        <v>0</v>
      </c>
      <c r="BJ83" s="33">
        <v>0</v>
      </c>
      <c r="BK83" s="33">
        <v>0</v>
      </c>
    </row>
    <row r="84" spans="1:63" ht="39" customHeight="1" x14ac:dyDescent="0.35">
      <c r="A84" s="1"/>
      <c r="B84" s="1"/>
      <c r="C84" s="2"/>
      <c r="D84" s="12" t="s">
        <v>143</v>
      </c>
      <c r="E84" s="31">
        <v>0</v>
      </c>
      <c r="F84" s="40">
        <v>0</v>
      </c>
      <c r="G84" s="38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9">
        <v>0</v>
      </c>
      <c r="P84" s="31">
        <v>0</v>
      </c>
      <c r="Q84" s="33">
        <v>0</v>
      </c>
      <c r="R84" s="32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9">
        <v>0</v>
      </c>
      <c r="AD84" s="32">
        <v>0</v>
      </c>
      <c r="AE84" s="28">
        <v>0</v>
      </c>
      <c r="AF84" s="28">
        <v>0</v>
      </c>
      <c r="AG84" s="28">
        <v>0</v>
      </c>
      <c r="AH84" s="28">
        <v>0</v>
      </c>
      <c r="AI84" s="29">
        <v>0</v>
      </c>
      <c r="AJ84" s="32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9">
        <v>0</v>
      </c>
      <c r="AR84" s="32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9">
        <v>0</v>
      </c>
      <c r="BE84" s="32">
        <v>0</v>
      </c>
      <c r="BF84" s="28">
        <v>0</v>
      </c>
      <c r="BG84" s="29">
        <v>0</v>
      </c>
      <c r="BH84" s="33">
        <v>0</v>
      </c>
      <c r="BI84" s="33">
        <v>0</v>
      </c>
      <c r="BJ84" s="33">
        <v>0</v>
      </c>
      <c r="BK84" s="33">
        <v>0</v>
      </c>
    </row>
    <row r="85" spans="1:63" ht="39" customHeight="1" x14ac:dyDescent="0.35">
      <c r="A85" s="1"/>
      <c r="B85" s="1"/>
      <c r="C85" s="2"/>
      <c r="D85" s="12" t="s">
        <v>144</v>
      </c>
      <c r="E85" s="31">
        <v>0</v>
      </c>
      <c r="F85" s="40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9">
        <v>0</v>
      </c>
      <c r="P85" s="31">
        <v>0</v>
      </c>
      <c r="Q85" s="33">
        <v>0</v>
      </c>
      <c r="R85" s="32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9">
        <v>0</v>
      </c>
      <c r="AD85" s="32">
        <v>0</v>
      </c>
      <c r="AE85" s="28">
        <v>0</v>
      </c>
      <c r="AF85" s="28">
        <v>0</v>
      </c>
      <c r="AG85" s="28">
        <v>0</v>
      </c>
      <c r="AH85" s="28">
        <v>0</v>
      </c>
      <c r="AI85" s="29">
        <v>0</v>
      </c>
      <c r="AJ85" s="32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9">
        <v>0</v>
      </c>
      <c r="AR85" s="32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9">
        <v>0</v>
      </c>
      <c r="BE85" s="32">
        <v>0</v>
      </c>
      <c r="BF85" s="28">
        <v>0</v>
      </c>
      <c r="BG85" s="29">
        <v>0</v>
      </c>
      <c r="BH85" s="33">
        <v>0</v>
      </c>
      <c r="BI85" s="33">
        <v>0</v>
      </c>
      <c r="BJ85" s="33">
        <v>0</v>
      </c>
      <c r="BK85" s="33">
        <v>0</v>
      </c>
    </row>
    <row r="86" spans="1:63" ht="39" customHeight="1" x14ac:dyDescent="0.35">
      <c r="A86" s="1"/>
      <c r="B86" s="1"/>
      <c r="C86" s="2"/>
      <c r="D86" s="12" t="s">
        <v>145</v>
      </c>
      <c r="E86" s="31">
        <v>0</v>
      </c>
      <c r="F86" s="40">
        <v>0</v>
      </c>
      <c r="G86" s="38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9">
        <v>0</v>
      </c>
      <c r="P86" s="31">
        <v>0</v>
      </c>
      <c r="Q86" s="33">
        <v>0</v>
      </c>
      <c r="R86" s="32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9">
        <v>0</v>
      </c>
      <c r="AD86" s="32">
        <v>0</v>
      </c>
      <c r="AE86" s="28">
        <v>0</v>
      </c>
      <c r="AF86" s="28">
        <v>0</v>
      </c>
      <c r="AG86" s="28">
        <v>0</v>
      </c>
      <c r="AH86" s="28">
        <v>0</v>
      </c>
      <c r="AI86" s="29">
        <v>0</v>
      </c>
      <c r="AJ86" s="32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9">
        <v>0</v>
      </c>
      <c r="AR86" s="32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9">
        <v>0</v>
      </c>
      <c r="BE86" s="32">
        <v>0</v>
      </c>
      <c r="BF86" s="28">
        <v>0</v>
      </c>
      <c r="BG86" s="29">
        <v>0</v>
      </c>
      <c r="BH86" s="33">
        <v>0</v>
      </c>
      <c r="BI86" s="33">
        <v>0</v>
      </c>
      <c r="BJ86" s="33">
        <v>0</v>
      </c>
      <c r="BK86" s="33">
        <v>0</v>
      </c>
    </row>
    <row r="87" spans="1:63" ht="39" customHeight="1" x14ac:dyDescent="0.35">
      <c r="A87" s="1"/>
      <c r="B87" s="1"/>
      <c r="C87" s="2"/>
      <c r="D87" s="12" t="s">
        <v>146</v>
      </c>
      <c r="E87" s="31">
        <v>0</v>
      </c>
      <c r="F87" s="40">
        <v>0</v>
      </c>
      <c r="G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9">
        <v>0</v>
      </c>
      <c r="P87" s="31">
        <v>0</v>
      </c>
      <c r="Q87" s="33">
        <v>0</v>
      </c>
      <c r="R87" s="32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9">
        <v>0</v>
      </c>
      <c r="AD87" s="32">
        <v>0</v>
      </c>
      <c r="AE87" s="28">
        <v>0</v>
      </c>
      <c r="AF87" s="28">
        <v>0</v>
      </c>
      <c r="AG87" s="28">
        <v>0</v>
      </c>
      <c r="AH87" s="28">
        <v>0</v>
      </c>
      <c r="AI87" s="29">
        <v>0</v>
      </c>
      <c r="AJ87" s="32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0</v>
      </c>
      <c r="AQ87" s="29">
        <v>0</v>
      </c>
      <c r="AR87" s="32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9">
        <v>0</v>
      </c>
      <c r="BE87" s="32">
        <v>0</v>
      </c>
      <c r="BF87" s="28">
        <v>0</v>
      </c>
      <c r="BG87" s="29">
        <v>0</v>
      </c>
      <c r="BH87" s="33">
        <v>0</v>
      </c>
      <c r="BI87" s="33">
        <v>0</v>
      </c>
      <c r="BJ87" s="33">
        <v>0</v>
      </c>
      <c r="BK87" s="33">
        <v>0</v>
      </c>
    </row>
    <row r="88" spans="1:63" ht="39" customHeight="1" x14ac:dyDescent="0.35">
      <c r="A88" s="1"/>
      <c r="B88" s="1"/>
      <c r="C88" s="2"/>
      <c r="D88" s="12" t="s">
        <v>147</v>
      </c>
      <c r="E88" s="31">
        <v>0</v>
      </c>
      <c r="F88" s="40">
        <v>0</v>
      </c>
      <c r="G88" s="38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9">
        <v>0</v>
      </c>
      <c r="P88" s="31">
        <v>0</v>
      </c>
      <c r="Q88" s="33">
        <v>0</v>
      </c>
      <c r="R88" s="32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9">
        <v>0</v>
      </c>
      <c r="AD88" s="32">
        <v>0</v>
      </c>
      <c r="AE88" s="28">
        <v>0</v>
      </c>
      <c r="AF88" s="28">
        <v>0</v>
      </c>
      <c r="AG88" s="28">
        <v>0</v>
      </c>
      <c r="AH88" s="28">
        <v>0</v>
      </c>
      <c r="AI88" s="29">
        <v>0</v>
      </c>
      <c r="AJ88" s="32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9">
        <v>0</v>
      </c>
      <c r="AR88" s="32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9">
        <v>0</v>
      </c>
      <c r="BE88" s="32">
        <v>0</v>
      </c>
      <c r="BF88" s="28">
        <v>0</v>
      </c>
      <c r="BG88" s="29">
        <v>0</v>
      </c>
      <c r="BH88" s="33">
        <v>0</v>
      </c>
      <c r="BI88" s="33">
        <v>0</v>
      </c>
      <c r="BJ88" s="33">
        <v>0</v>
      </c>
      <c r="BK88" s="33">
        <v>0</v>
      </c>
    </row>
    <row r="89" spans="1:63" ht="39" customHeight="1" x14ac:dyDescent="0.35">
      <c r="A89" s="1"/>
      <c r="B89" s="1"/>
      <c r="C89" s="2"/>
      <c r="D89" s="12" t="s">
        <v>148</v>
      </c>
      <c r="E89" s="31">
        <v>0</v>
      </c>
      <c r="F89" s="40">
        <v>0</v>
      </c>
      <c r="G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9">
        <v>0</v>
      </c>
      <c r="P89" s="31">
        <v>0</v>
      </c>
      <c r="Q89" s="33">
        <v>0</v>
      </c>
      <c r="R89" s="32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9">
        <v>0</v>
      </c>
      <c r="AD89" s="32">
        <v>0</v>
      </c>
      <c r="AE89" s="28">
        <v>0</v>
      </c>
      <c r="AF89" s="28">
        <v>0</v>
      </c>
      <c r="AG89" s="28">
        <v>0</v>
      </c>
      <c r="AH89" s="28">
        <v>0</v>
      </c>
      <c r="AI89" s="29">
        <v>0</v>
      </c>
      <c r="AJ89" s="32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9">
        <v>0</v>
      </c>
      <c r="AR89" s="32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9">
        <v>0</v>
      </c>
      <c r="BE89" s="32">
        <v>0</v>
      </c>
      <c r="BF89" s="28">
        <v>0</v>
      </c>
      <c r="BG89" s="29">
        <v>0</v>
      </c>
      <c r="BH89" s="33">
        <v>0</v>
      </c>
      <c r="BI89" s="33">
        <v>0</v>
      </c>
      <c r="BJ89" s="33">
        <v>0</v>
      </c>
      <c r="BK89" s="33">
        <v>0</v>
      </c>
    </row>
    <row r="90" spans="1:63" ht="39" customHeight="1" x14ac:dyDescent="0.35">
      <c r="A90" s="1"/>
      <c r="B90" s="1"/>
      <c r="C90" s="2"/>
      <c r="D90" s="12" t="s">
        <v>149</v>
      </c>
      <c r="E90" s="31">
        <v>0</v>
      </c>
      <c r="F90" s="40">
        <v>0</v>
      </c>
      <c r="G90" s="38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9">
        <v>0</v>
      </c>
      <c r="P90" s="31">
        <v>0</v>
      </c>
      <c r="Q90" s="33">
        <v>0</v>
      </c>
      <c r="R90" s="32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9">
        <v>0</v>
      </c>
      <c r="AD90" s="32">
        <v>0</v>
      </c>
      <c r="AE90" s="28">
        <v>0</v>
      </c>
      <c r="AF90" s="28">
        <v>0</v>
      </c>
      <c r="AG90" s="28">
        <v>0</v>
      </c>
      <c r="AH90" s="28">
        <v>0</v>
      </c>
      <c r="AI90" s="29">
        <v>0</v>
      </c>
      <c r="AJ90" s="32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9">
        <v>0</v>
      </c>
      <c r="AR90" s="32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9">
        <v>0</v>
      </c>
      <c r="BE90" s="32">
        <v>0</v>
      </c>
      <c r="BF90" s="28">
        <v>0</v>
      </c>
      <c r="BG90" s="29">
        <v>0</v>
      </c>
      <c r="BH90" s="33">
        <v>0</v>
      </c>
      <c r="BI90" s="33">
        <v>0</v>
      </c>
      <c r="BJ90" s="33">
        <v>0</v>
      </c>
      <c r="BK90" s="33">
        <v>0</v>
      </c>
    </row>
    <row r="91" spans="1:63" ht="39" customHeight="1" x14ac:dyDescent="0.35">
      <c r="A91" s="1"/>
      <c r="B91" s="1"/>
      <c r="C91" s="2"/>
      <c r="D91" s="12" t="s">
        <v>150</v>
      </c>
      <c r="E91" s="31">
        <v>0</v>
      </c>
      <c r="F91" s="40">
        <v>0</v>
      </c>
      <c r="G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9">
        <v>0</v>
      </c>
      <c r="P91" s="31">
        <v>0</v>
      </c>
      <c r="Q91" s="33">
        <v>0</v>
      </c>
      <c r="R91" s="32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9">
        <v>0</v>
      </c>
      <c r="AD91" s="32">
        <v>0</v>
      </c>
      <c r="AE91" s="28">
        <v>0</v>
      </c>
      <c r="AF91" s="28">
        <v>0</v>
      </c>
      <c r="AG91" s="28">
        <v>0</v>
      </c>
      <c r="AH91" s="28">
        <v>0</v>
      </c>
      <c r="AI91" s="29">
        <v>0</v>
      </c>
      <c r="AJ91" s="32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9">
        <v>0</v>
      </c>
      <c r="AR91" s="32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9">
        <v>0</v>
      </c>
      <c r="BE91" s="32">
        <v>0</v>
      </c>
      <c r="BF91" s="28">
        <v>0</v>
      </c>
      <c r="BG91" s="29">
        <v>0</v>
      </c>
      <c r="BH91" s="33">
        <v>0</v>
      </c>
      <c r="BI91" s="33">
        <v>0</v>
      </c>
      <c r="BJ91" s="33">
        <v>0</v>
      </c>
      <c r="BK91" s="33">
        <v>0</v>
      </c>
    </row>
    <row r="92" spans="1:63" ht="39" customHeight="1" x14ac:dyDescent="0.35">
      <c r="A92" s="1"/>
      <c r="B92" s="1"/>
      <c r="C92" s="2"/>
      <c r="D92" s="12" t="s">
        <v>151</v>
      </c>
      <c r="E92" s="31">
        <v>0</v>
      </c>
      <c r="F92" s="40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9">
        <v>0</v>
      </c>
      <c r="P92" s="31">
        <v>0</v>
      </c>
      <c r="Q92" s="33">
        <v>0</v>
      </c>
      <c r="R92" s="32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9">
        <v>0</v>
      </c>
      <c r="AD92" s="32">
        <v>0</v>
      </c>
      <c r="AE92" s="28">
        <v>0</v>
      </c>
      <c r="AF92" s="28">
        <v>0</v>
      </c>
      <c r="AG92" s="28">
        <v>0</v>
      </c>
      <c r="AH92" s="28">
        <v>0</v>
      </c>
      <c r="AI92" s="29">
        <v>0</v>
      </c>
      <c r="AJ92" s="32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9">
        <v>0</v>
      </c>
      <c r="AR92" s="32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9">
        <v>0</v>
      </c>
      <c r="BE92" s="32">
        <v>0</v>
      </c>
      <c r="BF92" s="28">
        <v>0</v>
      </c>
      <c r="BG92" s="29">
        <v>0</v>
      </c>
      <c r="BH92" s="33">
        <v>0</v>
      </c>
      <c r="BI92" s="33">
        <v>0</v>
      </c>
      <c r="BJ92" s="33">
        <v>0</v>
      </c>
      <c r="BK92" s="33">
        <v>0</v>
      </c>
    </row>
    <row r="93" spans="1:63" ht="39" customHeight="1" x14ac:dyDescent="0.35">
      <c r="A93" s="1"/>
      <c r="B93" s="1"/>
      <c r="C93" s="2"/>
      <c r="D93" s="12" t="s">
        <v>152</v>
      </c>
      <c r="E93" s="31">
        <v>0</v>
      </c>
      <c r="F93" s="40">
        <v>0</v>
      </c>
      <c r="G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9">
        <v>0</v>
      </c>
      <c r="P93" s="31">
        <v>0</v>
      </c>
      <c r="Q93" s="33">
        <v>0</v>
      </c>
      <c r="R93" s="32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9">
        <v>0</v>
      </c>
      <c r="AD93" s="32">
        <v>0</v>
      </c>
      <c r="AE93" s="28">
        <v>0</v>
      </c>
      <c r="AF93" s="28">
        <v>0</v>
      </c>
      <c r="AG93" s="28">
        <v>0</v>
      </c>
      <c r="AH93" s="28">
        <v>0</v>
      </c>
      <c r="AI93" s="29">
        <v>0</v>
      </c>
      <c r="AJ93" s="32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9">
        <v>0</v>
      </c>
      <c r="AR93" s="32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9">
        <v>0</v>
      </c>
      <c r="BE93" s="32">
        <v>0</v>
      </c>
      <c r="BF93" s="28">
        <v>0</v>
      </c>
      <c r="BG93" s="29">
        <v>0</v>
      </c>
      <c r="BH93" s="33">
        <v>0</v>
      </c>
      <c r="BI93" s="33">
        <v>0</v>
      </c>
      <c r="BJ93" s="33">
        <v>0</v>
      </c>
      <c r="BK93" s="33">
        <v>0</v>
      </c>
    </row>
    <row r="94" spans="1:63" ht="39" customHeight="1" x14ac:dyDescent="0.35">
      <c r="A94" s="1"/>
      <c r="B94" s="1"/>
      <c r="C94" s="2"/>
      <c r="D94" s="12" t="s">
        <v>153</v>
      </c>
      <c r="E94" s="31">
        <v>0</v>
      </c>
      <c r="F94" s="40">
        <v>0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9">
        <v>0</v>
      </c>
      <c r="P94" s="31">
        <v>0</v>
      </c>
      <c r="Q94" s="33">
        <v>0</v>
      </c>
      <c r="R94" s="32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9">
        <v>0</v>
      </c>
      <c r="AD94" s="32">
        <v>0</v>
      </c>
      <c r="AE94" s="28">
        <v>0</v>
      </c>
      <c r="AF94" s="28">
        <v>0</v>
      </c>
      <c r="AG94" s="28">
        <v>0</v>
      </c>
      <c r="AH94" s="28">
        <v>0</v>
      </c>
      <c r="AI94" s="29">
        <v>0</v>
      </c>
      <c r="AJ94" s="32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9">
        <v>0</v>
      </c>
      <c r="AR94" s="32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9">
        <v>0</v>
      </c>
      <c r="BE94" s="32">
        <v>0</v>
      </c>
      <c r="BF94" s="28">
        <v>0</v>
      </c>
      <c r="BG94" s="29">
        <v>0</v>
      </c>
      <c r="BH94" s="33">
        <v>0</v>
      </c>
      <c r="BI94" s="33">
        <v>0</v>
      </c>
      <c r="BJ94" s="33">
        <v>0</v>
      </c>
      <c r="BK94" s="33">
        <v>0</v>
      </c>
    </row>
    <row r="95" spans="1:63" ht="39" customHeight="1" x14ac:dyDescent="0.35">
      <c r="A95" s="1"/>
      <c r="B95" s="1"/>
      <c r="C95" s="2"/>
      <c r="D95" s="12" t="s">
        <v>154</v>
      </c>
      <c r="E95" s="31">
        <v>0</v>
      </c>
      <c r="F95" s="40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9">
        <v>0</v>
      </c>
      <c r="P95" s="31">
        <v>0</v>
      </c>
      <c r="Q95" s="33">
        <v>0</v>
      </c>
      <c r="R95" s="32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9">
        <v>0</v>
      </c>
      <c r="AD95" s="32">
        <v>0</v>
      </c>
      <c r="AE95" s="28">
        <v>0</v>
      </c>
      <c r="AF95" s="28">
        <v>0</v>
      </c>
      <c r="AG95" s="28">
        <v>0</v>
      </c>
      <c r="AH95" s="28">
        <v>0</v>
      </c>
      <c r="AI95" s="29">
        <v>0</v>
      </c>
      <c r="AJ95" s="32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9">
        <v>0</v>
      </c>
      <c r="AR95" s="32">
        <v>0</v>
      </c>
      <c r="AS95" s="28">
        <v>0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9">
        <v>0</v>
      </c>
      <c r="BE95" s="32">
        <v>0</v>
      </c>
      <c r="BF95" s="28">
        <v>0</v>
      </c>
      <c r="BG95" s="29">
        <v>0</v>
      </c>
      <c r="BH95" s="33">
        <v>0</v>
      </c>
      <c r="BI95" s="33">
        <v>0</v>
      </c>
      <c r="BJ95" s="33">
        <v>0</v>
      </c>
      <c r="BK95" s="33">
        <v>0</v>
      </c>
    </row>
    <row r="96" spans="1:63" ht="39" customHeight="1" x14ac:dyDescent="0.35">
      <c r="A96" s="1"/>
      <c r="B96" s="1"/>
      <c r="C96" s="2"/>
      <c r="D96" s="12" t="s">
        <v>155</v>
      </c>
      <c r="E96" s="31">
        <v>0</v>
      </c>
      <c r="F96" s="40">
        <v>0</v>
      </c>
      <c r="G96" s="38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9">
        <v>0</v>
      </c>
      <c r="P96" s="31">
        <v>0</v>
      </c>
      <c r="Q96" s="33">
        <v>0</v>
      </c>
      <c r="R96" s="32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9">
        <v>0</v>
      </c>
      <c r="AD96" s="32">
        <v>0</v>
      </c>
      <c r="AE96" s="28">
        <v>0</v>
      </c>
      <c r="AF96" s="28">
        <v>0</v>
      </c>
      <c r="AG96" s="28">
        <v>0</v>
      </c>
      <c r="AH96" s="28">
        <v>0</v>
      </c>
      <c r="AI96" s="29">
        <v>0</v>
      </c>
      <c r="AJ96" s="32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9">
        <v>0</v>
      </c>
      <c r="AR96" s="32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9">
        <v>0</v>
      </c>
      <c r="BE96" s="32">
        <v>0</v>
      </c>
      <c r="BF96" s="28">
        <v>0</v>
      </c>
      <c r="BG96" s="29">
        <v>0</v>
      </c>
      <c r="BH96" s="33">
        <v>0</v>
      </c>
      <c r="BI96" s="33">
        <v>0</v>
      </c>
      <c r="BJ96" s="33">
        <v>0</v>
      </c>
      <c r="BK96" s="33">
        <v>0</v>
      </c>
    </row>
    <row r="97" spans="1:63" ht="39" customHeight="1" x14ac:dyDescent="0.35">
      <c r="A97" s="1"/>
      <c r="B97" s="1"/>
      <c r="C97" s="2"/>
      <c r="D97" s="12" t="s">
        <v>156</v>
      </c>
      <c r="E97" s="31">
        <v>0</v>
      </c>
      <c r="F97" s="40">
        <v>0</v>
      </c>
      <c r="G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9">
        <v>0</v>
      </c>
      <c r="P97" s="31">
        <v>0</v>
      </c>
      <c r="Q97" s="33">
        <v>0</v>
      </c>
      <c r="R97" s="32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9">
        <v>0</v>
      </c>
      <c r="AD97" s="32">
        <v>0</v>
      </c>
      <c r="AE97" s="28">
        <v>0</v>
      </c>
      <c r="AF97" s="28">
        <v>0</v>
      </c>
      <c r="AG97" s="28">
        <v>0</v>
      </c>
      <c r="AH97" s="28">
        <v>0</v>
      </c>
      <c r="AI97" s="29">
        <v>0</v>
      </c>
      <c r="AJ97" s="32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9">
        <v>0</v>
      </c>
      <c r="AR97" s="32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9">
        <v>0</v>
      </c>
      <c r="BE97" s="32">
        <v>0</v>
      </c>
      <c r="BF97" s="28">
        <v>0</v>
      </c>
      <c r="BG97" s="29">
        <v>0</v>
      </c>
      <c r="BH97" s="33">
        <v>0</v>
      </c>
      <c r="BI97" s="33">
        <v>0</v>
      </c>
      <c r="BJ97" s="33">
        <v>0</v>
      </c>
      <c r="BK97" s="33">
        <v>0</v>
      </c>
    </row>
    <row r="98" spans="1:63" ht="39" customHeight="1" x14ac:dyDescent="0.35">
      <c r="A98" s="1"/>
      <c r="B98" s="1"/>
      <c r="C98" s="2"/>
      <c r="D98" s="12" t="s">
        <v>157</v>
      </c>
      <c r="E98" s="31">
        <v>0</v>
      </c>
      <c r="F98" s="40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9">
        <v>0</v>
      </c>
      <c r="P98" s="31">
        <v>0</v>
      </c>
      <c r="Q98" s="33">
        <v>0</v>
      </c>
      <c r="R98" s="32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9">
        <v>0</v>
      </c>
      <c r="AD98" s="32">
        <v>0</v>
      </c>
      <c r="AE98" s="28">
        <v>0</v>
      </c>
      <c r="AF98" s="28">
        <v>0</v>
      </c>
      <c r="AG98" s="28">
        <v>0</v>
      </c>
      <c r="AH98" s="28">
        <v>0</v>
      </c>
      <c r="AI98" s="29">
        <v>0</v>
      </c>
      <c r="AJ98" s="32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9">
        <v>0</v>
      </c>
      <c r="AR98" s="32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9">
        <v>0</v>
      </c>
      <c r="BE98" s="32">
        <v>0</v>
      </c>
      <c r="BF98" s="28">
        <v>0</v>
      </c>
      <c r="BG98" s="29">
        <v>0</v>
      </c>
      <c r="BH98" s="33">
        <v>0</v>
      </c>
      <c r="BI98" s="33">
        <v>0</v>
      </c>
      <c r="BJ98" s="33">
        <v>0</v>
      </c>
      <c r="BK98" s="33">
        <v>0</v>
      </c>
    </row>
    <row r="99" spans="1:63" ht="39" customHeight="1" x14ac:dyDescent="0.35">
      <c r="A99" s="1"/>
      <c r="B99" s="1"/>
      <c r="C99" s="2"/>
      <c r="D99" s="12" t="s">
        <v>158</v>
      </c>
      <c r="E99" s="31">
        <v>0</v>
      </c>
      <c r="F99" s="40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9">
        <v>0</v>
      </c>
      <c r="P99" s="31">
        <v>0</v>
      </c>
      <c r="Q99" s="33">
        <v>0</v>
      </c>
      <c r="R99" s="32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9">
        <v>0</v>
      </c>
      <c r="AD99" s="32">
        <v>0</v>
      </c>
      <c r="AE99" s="28">
        <v>0</v>
      </c>
      <c r="AF99" s="28">
        <v>0</v>
      </c>
      <c r="AG99" s="28">
        <v>0</v>
      </c>
      <c r="AH99" s="28">
        <v>0</v>
      </c>
      <c r="AI99" s="29">
        <v>0</v>
      </c>
      <c r="AJ99" s="32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9">
        <v>0</v>
      </c>
      <c r="AR99" s="32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9">
        <v>0</v>
      </c>
      <c r="BE99" s="32">
        <v>0</v>
      </c>
      <c r="BF99" s="28">
        <v>0</v>
      </c>
      <c r="BG99" s="29">
        <v>0</v>
      </c>
      <c r="BH99" s="33">
        <v>0</v>
      </c>
      <c r="BI99" s="33">
        <v>0</v>
      </c>
      <c r="BJ99" s="33">
        <v>0</v>
      </c>
      <c r="BK99" s="33">
        <v>0</v>
      </c>
    </row>
    <row r="100" spans="1:63" ht="39" customHeight="1" x14ac:dyDescent="0.35">
      <c r="A100" s="1"/>
      <c r="B100" s="1"/>
      <c r="C100" s="2"/>
      <c r="D100" s="12" t="s">
        <v>159</v>
      </c>
      <c r="E100" s="31">
        <v>0</v>
      </c>
      <c r="F100" s="40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9">
        <v>0</v>
      </c>
      <c r="P100" s="31">
        <v>0</v>
      </c>
      <c r="Q100" s="33">
        <v>0</v>
      </c>
      <c r="R100" s="32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9">
        <v>0</v>
      </c>
      <c r="AD100" s="32">
        <v>0</v>
      </c>
      <c r="AE100" s="28">
        <v>0</v>
      </c>
      <c r="AF100" s="28">
        <v>0</v>
      </c>
      <c r="AG100" s="28">
        <v>0</v>
      </c>
      <c r="AH100" s="28">
        <v>0</v>
      </c>
      <c r="AI100" s="29">
        <v>0</v>
      </c>
      <c r="AJ100" s="32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9">
        <v>0</v>
      </c>
      <c r="AR100" s="32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9">
        <v>0</v>
      </c>
      <c r="BE100" s="32">
        <v>0</v>
      </c>
      <c r="BF100" s="28">
        <v>0</v>
      </c>
      <c r="BG100" s="29">
        <v>0</v>
      </c>
      <c r="BH100" s="33">
        <v>0</v>
      </c>
      <c r="BI100" s="33">
        <v>0</v>
      </c>
      <c r="BJ100" s="33">
        <v>0</v>
      </c>
      <c r="BK100" s="33">
        <v>0</v>
      </c>
    </row>
    <row r="101" spans="1:63" ht="39" customHeight="1" x14ac:dyDescent="0.35">
      <c r="A101" s="1"/>
      <c r="B101" s="1"/>
      <c r="C101" s="2"/>
      <c r="D101" s="12" t="s">
        <v>160</v>
      </c>
      <c r="E101" s="31">
        <v>0</v>
      </c>
      <c r="F101" s="40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9">
        <v>0</v>
      </c>
      <c r="P101" s="31">
        <v>0</v>
      </c>
      <c r="Q101" s="33">
        <v>0</v>
      </c>
      <c r="R101" s="32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9">
        <v>0</v>
      </c>
      <c r="AD101" s="32">
        <v>0</v>
      </c>
      <c r="AE101" s="28">
        <v>0</v>
      </c>
      <c r="AF101" s="28">
        <v>0</v>
      </c>
      <c r="AG101" s="28">
        <v>0</v>
      </c>
      <c r="AH101" s="28">
        <v>0</v>
      </c>
      <c r="AI101" s="29">
        <v>0</v>
      </c>
      <c r="AJ101" s="32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9">
        <v>0</v>
      </c>
      <c r="AR101" s="32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9">
        <v>0</v>
      </c>
      <c r="BE101" s="32">
        <v>0</v>
      </c>
      <c r="BF101" s="28">
        <v>0</v>
      </c>
      <c r="BG101" s="29">
        <v>0</v>
      </c>
      <c r="BH101" s="33">
        <v>0</v>
      </c>
      <c r="BI101" s="33">
        <v>0</v>
      </c>
      <c r="BJ101" s="33">
        <v>0</v>
      </c>
      <c r="BK101" s="33">
        <v>0</v>
      </c>
    </row>
    <row r="102" spans="1:63" ht="39" customHeight="1" x14ac:dyDescent="0.35">
      <c r="A102" s="1"/>
      <c r="B102" s="1"/>
      <c r="C102" s="2"/>
      <c r="D102" s="12" t="s">
        <v>161</v>
      </c>
      <c r="E102" s="31">
        <v>0</v>
      </c>
      <c r="F102" s="40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9">
        <v>0</v>
      </c>
      <c r="P102" s="31">
        <v>0</v>
      </c>
      <c r="Q102" s="33">
        <v>0</v>
      </c>
      <c r="R102" s="32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9">
        <v>0</v>
      </c>
      <c r="AD102" s="32">
        <v>0</v>
      </c>
      <c r="AE102" s="28">
        <v>0</v>
      </c>
      <c r="AF102" s="28">
        <v>0</v>
      </c>
      <c r="AG102" s="28">
        <v>0</v>
      </c>
      <c r="AH102" s="28">
        <v>0</v>
      </c>
      <c r="AI102" s="29">
        <v>0</v>
      </c>
      <c r="AJ102" s="32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9">
        <v>0</v>
      </c>
      <c r="AR102" s="32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9">
        <v>0</v>
      </c>
      <c r="BE102" s="32">
        <v>0</v>
      </c>
      <c r="BF102" s="28">
        <v>0</v>
      </c>
      <c r="BG102" s="29">
        <v>0</v>
      </c>
      <c r="BH102" s="33">
        <v>0</v>
      </c>
      <c r="BI102" s="33">
        <v>0</v>
      </c>
      <c r="BJ102" s="33">
        <v>0</v>
      </c>
      <c r="BK102" s="33">
        <v>0</v>
      </c>
    </row>
    <row r="103" spans="1:63" ht="39" customHeight="1" x14ac:dyDescent="0.35">
      <c r="A103" s="1"/>
      <c r="B103" s="1"/>
      <c r="C103" s="2"/>
      <c r="D103" s="12" t="s">
        <v>162</v>
      </c>
      <c r="E103" s="31">
        <v>0</v>
      </c>
      <c r="F103" s="40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9">
        <v>0</v>
      </c>
      <c r="P103" s="31">
        <v>0</v>
      </c>
      <c r="Q103" s="33">
        <v>0</v>
      </c>
      <c r="R103" s="32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9">
        <v>0</v>
      </c>
      <c r="AD103" s="32">
        <v>0</v>
      </c>
      <c r="AE103" s="28">
        <v>0</v>
      </c>
      <c r="AF103" s="28">
        <v>0</v>
      </c>
      <c r="AG103" s="28">
        <v>0</v>
      </c>
      <c r="AH103" s="28">
        <v>0</v>
      </c>
      <c r="AI103" s="29">
        <v>0</v>
      </c>
      <c r="AJ103" s="32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9">
        <v>0</v>
      </c>
      <c r="AR103" s="32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9">
        <v>0</v>
      </c>
      <c r="BE103" s="32">
        <v>0</v>
      </c>
      <c r="BF103" s="28">
        <v>0</v>
      </c>
      <c r="BG103" s="29">
        <v>0</v>
      </c>
      <c r="BH103" s="33">
        <v>0</v>
      </c>
      <c r="BI103" s="33">
        <v>0</v>
      </c>
      <c r="BJ103" s="33">
        <v>0</v>
      </c>
      <c r="BK103" s="33">
        <v>0</v>
      </c>
    </row>
    <row r="104" spans="1:63" ht="39" customHeight="1" x14ac:dyDescent="0.35">
      <c r="A104" s="1"/>
      <c r="B104" s="1"/>
      <c r="C104" s="2"/>
      <c r="D104" s="12" t="s">
        <v>163</v>
      </c>
      <c r="E104" s="31">
        <v>0</v>
      </c>
      <c r="F104" s="40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9">
        <v>0</v>
      </c>
      <c r="P104" s="31">
        <v>0</v>
      </c>
      <c r="Q104" s="33">
        <v>0</v>
      </c>
      <c r="R104" s="32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9">
        <v>0</v>
      </c>
      <c r="AD104" s="32">
        <v>0</v>
      </c>
      <c r="AE104" s="28">
        <v>0</v>
      </c>
      <c r="AF104" s="28">
        <v>0</v>
      </c>
      <c r="AG104" s="28">
        <v>0</v>
      </c>
      <c r="AH104" s="28">
        <v>0</v>
      </c>
      <c r="AI104" s="29">
        <v>0</v>
      </c>
      <c r="AJ104" s="32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9">
        <v>0</v>
      </c>
      <c r="AR104" s="32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9">
        <v>0</v>
      </c>
      <c r="BE104" s="32">
        <v>0</v>
      </c>
      <c r="BF104" s="28">
        <v>0</v>
      </c>
      <c r="BG104" s="29">
        <v>0</v>
      </c>
      <c r="BH104" s="33">
        <v>0</v>
      </c>
      <c r="BI104" s="33">
        <v>0</v>
      </c>
      <c r="BJ104" s="33">
        <v>0</v>
      </c>
      <c r="BK104" s="33">
        <v>0</v>
      </c>
    </row>
    <row r="105" spans="1:63" ht="39" customHeight="1" x14ac:dyDescent="0.35">
      <c r="A105" s="1"/>
      <c r="B105" s="1"/>
      <c r="C105" s="2"/>
      <c r="D105" s="12" t="s">
        <v>164</v>
      </c>
      <c r="E105" s="31">
        <v>0</v>
      </c>
      <c r="F105" s="40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9">
        <v>0</v>
      </c>
      <c r="P105" s="31">
        <v>0</v>
      </c>
      <c r="Q105" s="33">
        <v>0</v>
      </c>
      <c r="R105" s="42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v>0</v>
      </c>
      <c r="AC105" s="44">
        <v>0</v>
      </c>
      <c r="AD105" s="42">
        <v>0</v>
      </c>
      <c r="AE105" s="43">
        <v>0</v>
      </c>
      <c r="AF105" s="43">
        <v>0</v>
      </c>
      <c r="AG105" s="43">
        <v>0</v>
      </c>
      <c r="AH105" s="43">
        <v>0</v>
      </c>
      <c r="AI105" s="44">
        <v>0</v>
      </c>
      <c r="AJ105" s="42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4">
        <v>0</v>
      </c>
      <c r="AR105" s="42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0</v>
      </c>
      <c r="BD105" s="44">
        <v>0</v>
      </c>
      <c r="BE105" s="42">
        <v>0</v>
      </c>
      <c r="BF105" s="43">
        <v>0</v>
      </c>
      <c r="BG105" s="44">
        <v>0</v>
      </c>
      <c r="BH105" s="45">
        <v>0</v>
      </c>
      <c r="BI105" s="45">
        <v>0</v>
      </c>
      <c r="BJ105" s="45">
        <v>0</v>
      </c>
      <c r="BK105" s="45">
        <v>0</v>
      </c>
    </row>
    <row r="106" spans="1:63" ht="39" customHeight="1" x14ac:dyDescent="0.35">
      <c r="A106" s="1"/>
      <c r="B106" s="1"/>
      <c r="C106" s="2"/>
      <c r="D106" s="12" t="s">
        <v>165</v>
      </c>
      <c r="E106" s="31">
        <v>0</v>
      </c>
      <c r="F106" s="46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8">
        <v>0</v>
      </c>
      <c r="P106" s="31">
        <v>0</v>
      </c>
      <c r="Q106" s="33">
        <v>0</v>
      </c>
      <c r="R106" s="49">
        <v>0</v>
      </c>
      <c r="S106" s="50">
        <v>0</v>
      </c>
      <c r="T106" s="50">
        <v>0</v>
      </c>
      <c r="U106" s="50">
        <v>0</v>
      </c>
      <c r="V106" s="50">
        <v>0</v>
      </c>
      <c r="W106" s="50">
        <v>0</v>
      </c>
      <c r="X106" s="50">
        <v>0</v>
      </c>
      <c r="Y106" s="50">
        <v>0</v>
      </c>
      <c r="Z106" s="50">
        <v>0</v>
      </c>
      <c r="AA106" s="50">
        <v>0</v>
      </c>
      <c r="AB106" s="50">
        <v>0</v>
      </c>
      <c r="AC106" s="51">
        <v>0</v>
      </c>
      <c r="AD106" s="49">
        <v>0</v>
      </c>
      <c r="AE106" s="50">
        <v>0</v>
      </c>
      <c r="AF106" s="50">
        <v>0</v>
      </c>
      <c r="AG106" s="50">
        <v>0</v>
      </c>
      <c r="AH106" s="50">
        <v>0</v>
      </c>
      <c r="AI106" s="51">
        <v>0</v>
      </c>
      <c r="AJ106" s="49">
        <v>0</v>
      </c>
      <c r="AK106" s="50">
        <v>0</v>
      </c>
      <c r="AL106" s="50">
        <v>0</v>
      </c>
      <c r="AM106" s="50">
        <v>0</v>
      </c>
      <c r="AN106" s="50">
        <v>0</v>
      </c>
      <c r="AO106" s="50">
        <v>0</v>
      </c>
      <c r="AP106" s="50">
        <v>0</v>
      </c>
      <c r="AQ106" s="51">
        <v>0</v>
      </c>
      <c r="AR106" s="49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50">
        <v>0</v>
      </c>
      <c r="AY106" s="50">
        <v>0</v>
      </c>
      <c r="AZ106" s="50">
        <v>0</v>
      </c>
      <c r="BA106" s="50">
        <v>0</v>
      </c>
      <c r="BB106" s="50">
        <v>0</v>
      </c>
      <c r="BC106" s="50">
        <v>0</v>
      </c>
      <c r="BD106" s="51">
        <v>0</v>
      </c>
      <c r="BE106" s="49">
        <v>0</v>
      </c>
      <c r="BF106" s="50">
        <v>0</v>
      </c>
      <c r="BG106" s="51">
        <v>0</v>
      </c>
      <c r="BH106" s="52">
        <v>0</v>
      </c>
      <c r="BI106" s="52">
        <v>0</v>
      </c>
      <c r="BJ106" s="52">
        <v>0</v>
      </c>
      <c r="BK106" s="52">
        <v>0</v>
      </c>
    </row>
    <row r="107" spans="1:63" ht="23.25" customHeigh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</row>
    <row r="108" spans="1:63" ht="23.25" customHeigh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 ht="23.25" customHeigh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</row>
    <row r="110" spans="1:63" ht="23.25" customHeigh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 ht="23.25" customHeigh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 spans="1:63" ht="23.25" customHeigh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 spans="1:63" ht="23.25" customHeigh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 ht="23.25" customHeigh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 spans="1:63" ht="23.25" customHeigh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 ht="23.25" customHeigh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</row>
    <row r="117" spans="1:63" ht="23.25" customHeigh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</row>
    <row r="118" spans="1:63" ht="23.25" customHeigh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</row>
    <row r="119" spans="1:63" ht="23.25" customHeigh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</row>
    <row r="120" spans="1:63" ht="23.25" customHeigh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</row>
    <row r="121" spans="1:63" ht="23.25" customHeigh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</row>
    <row r="122" spans="1:63" ht="23.25" customHeigh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</row>
    <row r="123" spans="1:63" ht="23.25" customHeigh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</row>
    <row r="124" spans="1:63" ht="23.25" customHeigh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</row>
    <row r="125" spans="1:63" ht="23.25" customHeigh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 spans="1:63" ht="23.25" customHeigh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</row>
    <row r="127" spans="1:63" ht="23.25" customHeigh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</row>
    <row r="128" spans="1:63" ht="23.25" customHeigh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3" ht="23.25" customHeigh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</row>
    <row r="130" spans="1:63" ht="23.25" customHeigh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</row>
    <row r="131" spans="1:63" ht="23.25" customHeigh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</row>
    <row r="132" spans="1:63" ht="23.25" customHeigh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</row>
    <row r="133" spans="1:63" ht="23.25" customHeigh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</row>
    <row r="134" spans="1:63" ht="23.25" customHeigh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</row>
    <row r="135" spans="1:63" ht="23.25" customHeigh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</row>
    <row r="136" spans="1:63" ht="23.25" customHeigh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</row>
    <row r="137" spans="1:63" ht="23.25" customHeigh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 ht="23.25" customHeigh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</row>
    <row r="139" spans="1:63" ht="23.25" customHeigh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</row>
    <row r="140" spans="1:63" ht="23.25" customHeigh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</row>
    <row r="141" spans="1:63" ht="23.25" customHeigh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</row>
    <row r="142" spans="1:63" ht="23.25" customHeigh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</row>
    <row r="143" spans="1:63" ht="23.25" customHeigh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</row>
    <row r="144" spans="1:63" ht="23.25" customHeigh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</row>
    <row r="145" spans="1:63" ht="23.25" customHeigh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</row>
    <row r="146" spans="1:63" ht="23.25" customHeigh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</row>
    <row r="147" spans="1:63" ht="23.25" customHeigh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</row>
    <row r="148" spans="1:63" ht="23.25" customHeigh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</row>
    <row r="149" spans="1:63" ht="23.25" customHeigh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</row>
    <row r="150" spans="1:63" ht="23.25" customHeigh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</row>
    <row r="151" spans="1:63" ht="23.25" customHeigh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</row>
    <row r="152" spans="1:63" ht="23.25" customHeigh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</row>
    <row r="153" spans="1:63" ht="23.25" customHeigh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</row>
    <row r="154" spans="1:63" ht="23.25" customHeigh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</row>
    <row r="155" spans="1:63" ht="23.25" customHeigh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</row>
    <row r="156" spans="1:63" ht="23.25" customHeigh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</row>
    <row r="157" spans="1:63" ht="23.25" customHeigh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</row>
    <row r="158" spans="1:63" ht="23.25" customHeigh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</row>
    <row r="159" spans="1:63" ht="23.25" customHeigh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</row>
    <row r="160" spans="1:63" ht="23.25" customHeigh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</row>
    <row r="161" spans="1:63" ht="23.25" customHeigh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</row>
    <row r="162" spans="1:63" ht="23.25" customHeigh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</row>
    <row r="163" spans="1:63" ht="23.25" customHeigh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</row>
    <row r="164" spans="1:63" ht="23.25" customHeigh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</row>
    <row r="165" spans="1:63" ht="23.25" customHeigh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</row>
    <row r="166" spans="1:63" ht="23.25" customHeigh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</row>
    <row r="167" spans="1:63" ht="23.25" customHeigh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</row>
    <row r="168" spans="1:63" ht="23.25" customHeigh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</row>
    <row r="169" spans="1:63" ht="23.25" customHeigh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</row>
    <row r="170" spans="1:63" ht="23.25" customHeigh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</row>
    <row r="171" spans="1:63" ht="23.25" customHeigh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</row>
    <row r="172" spans="1:63" ht="23.25" customHeigh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</row>
    <row r="173" spans="1:63" ht="23.25" customHeigh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</row>
    <row r="174" spans="1:63" ht="23.25" customHeigh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</row>
    <row r="175" spans="1:63" ht="23.25" customHeigh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</row>
    <row r="176" spans="1:63" ht="23.25" customHeigh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</row>
    <row r="177" spans="1:63" ht="23.25" customHeigh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</row>
    <row r="178" spans="1:63" ht="23.25" customHeigh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</row>
    <row r="179" spans="1:63" ht="23.25" customHeigh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</row>
    <row r="180" spans="1:63" ht="23.25" customHeigh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</row>
    <row r="181" spans="1:63" ht="23.25" customHeigh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</row>
    <row r="182" spans="1:63" ht="23.25" customHeigh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</row>
    <row r="183" spans="1:63" ht="23.25" customHeigh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</row>
    <row r="184" spans="1:63" ht="23.25" customHeigh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 ht="23.25" customHeigh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</row>
    <row r="186" spans="1:63" ht="23.25" customHeigh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 ht="23.25" customHeigh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 ht="23.25" customHeigh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 ht="23.25" customHeigh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 ht="23.25" customHeigh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</row>
    <row r="191" spans="1:63" ht="23.25" customHeigh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 ht="23.25" customHeigh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</row>
    <row r="193" spans="1:63" ht="23.25" customHeigh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 ht="23.25" customHeigh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 ht="23.25" customHeigh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 ht="23.25" customHeigh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 ht="23.25" customHeigh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 ht="23.25" customHeigh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 ht="23.25" customHeigh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</row>
    <row r="200" spans="1:63" ht="23.25" customHeigh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 ht="23.25" customHeigh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 ht="23.25" customHeigh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 ht="23.25" customHeigh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 ht="23.25" customHeigh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</row>
    <row r="205" spans="1:63" ht="23.25" customHeigh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 ht="23.25" customHeigh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 ht="23.25" customHeigh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 ht="23.25" customHeigh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 ht="23.25" customHeigh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 ht="23.25" customHeigh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 ht="23.25" customHeigh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</row>
    <row r="212" spans="1:63" ht="23.25" customHeigh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</row>
    <row r="213" spans="1:63" ht="23.25" customHeigh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</row>
    <row r="214" spans="1:63" ht="23.25" customHeigh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</row>
    <row r="215" spans="1:63" ht="23.25" customHeigh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</row>
    <row r="216" spans="1:63" ht="23.25" customHeigh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</row>
    <row r="217" spans="1:63" ht="23.25" customHeigh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</row>
    <row r="218" spans="1:63" ht="23.25" customHeigh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</row>
    <row r="219" spans="1:63" ht="23.25" customHeigh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 ht="23.25" customHeigh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</row>
    <row r="221" spans="1:63" ht="23.25" customHeigh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</row>
    <row r="222" spans="1:63" ht="23.25" customHeigh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 ht="23.25" customHeigh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</row>
    <row r="224" spans="1:63" ht="23.25" customHeigh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 ht="23.25" customHeigh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</row>
    <row r="226" spans="1:63" ht="23.25" customHeigh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</row>
    <row r="227" spans="1:63" ht="23.25" customHeigh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 ht="23.25" customHeigh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</row>
    <row r="229" spans="1:63" ht="23.25" customHeigh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 ht="23.25" customHeigh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 ht="23.25" customHeigh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</row>
    <row r="232" spans="1:63" ht="23.25" customHeigh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</row>
    <row r="233" spans="1:63" ht="23.25" customHeigh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</row>
    <row r="234" spans="1:63" ht="23.25" customHeigh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</row>
    <row r="235" spans="1:63" ht="23.25" customHeigh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</row>
    <row r="236" spans="1:63" ht="23.25" customHeigh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</row>
    <row r="237" spans="1:63" ht="23.25" customHeigh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</row>
    <row r="238" spans="1:63" ht="23.25" customHeigh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 ht="23.25" customHeigh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</row>
    <row r="240" spans="1:63" ht="23.25" customHeigh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</row>
    <row r="241" spans="1:63" ht="23.25" customHeigh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</row>
    <row r="242" spans="1:63" ht="23.25" customHeigh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</row>
    <row r="243" spans="1:63" ht="23.25" customHeigh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</row>
    <row r="244" spans="1:63" ht="23.25" customHeigh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</row>
    <row r="245" spans="1:63" ht="23.25" customHeigh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 ht="23.25" customHeigh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</row>
    <row r="247" spans="1:63" ht="23.25" customHeigh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</row>
    <row r="248" spans="1:63" ht="23.25" customHeigh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</row>
    <row r="249" spans="1:63" ht="23.25" customHeigh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</row>
    <row r="250" spans="1:63" ht="23.25" customHeigh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 ht="23.25" customHeigh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 ht="23.25" customHeigh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 ht="23.25" customHeigh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 ht="23.25" customHeigh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 ht="23.25" customHeigh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 ht="23.25" customHeigh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ht="23.25" customHeigh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</row>
    <row r="258" spans="1:63" ht="23.25" customHeigh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</row>
    <row r="259" spans="1:63" ht="23.25" customHeigh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</row>
    <row r="260" spans="1:63" ht="23.25" customHeigh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</row>
    <row r="261" spans="1:63" ht="23.25" customHeigh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</row>
    <row r="262" spans="1:63" ht="23.25" customHeigh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</row>
    <row r="263" spans="1:63" ht="23.25" customHeigh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</row>
    <row r="264" spans="1:63" ht="23.25" customHeigh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</row>
    <row r="265" spans="1:63" ht="23.25" customHeigh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</row>
    <row r="266" spans="1:63" ht="23.25" customHeigh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</row>
    <row r="267" spans="1:63" ht="23.25" customHeigh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</row>
    <row r="268" spans="1:63" ht="23.25" customHeigh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</row>
    <row r="269" spans="1:63" ht="23.25" customHeigh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</row>
    <row r="270" spans="1:63" ht="23.25" customHeigh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</row>
    <row r="271" spans="1:63" ht="23.25" customHeigh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</row>
    <row r="272" spans="1:63" ht="23.25" customHeigh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</row>
    <row r="273" spans="1:63" ht="23.25" customHeigh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</row>
    <row r="274" spans="1:63" ht="23.25" customHeigh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</row>
    <row r="275" spans="1:63" ht="23.25" customHeigh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</row>
    <row r="276" spans="1:63" ht="23.25" customHeigh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</row>
    <row r="277" spans="1:63" ht="23.25" customHeigh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</row>
    <row r="278" spans="1:63" ht="23.25" customHeigh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</row>
    <row r="279" spans="1:63" ht="23.25" customHeigh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</row>
    <row r="280" spans="1:63" ht="23.25" customHeigh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</row>
    <row r="281" spans="1:63" ht="23.25" customHeigh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</row>
    <row r="282" spans="1:63" ht="23.25" customHeigh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</row>
    <row r="283" spans="1:63" ht="23.25" customHeigh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</row>
    <row r="284" spans="1:63" ht="23.25" customHeigh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</row>
    <row r="285" spans="1:63" ht="23.25" customHeigh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</row>
    <row r="286" spans="1:63" ht="23.25" customHeigh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</row>
    <row r="287" spans="1:63" ht="23.25" customHeigh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</row>
    <row r="288" spans="1:63" ht="23.25" customHeigh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</row>
    <row r="289" spans="1:63" ht="23.25" customHeigh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</row>
    <row r="290" spans="1:63" ht="23.25" customHeigh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</row>
    <row r="291" spans="1:63" ht="23.25" customHeigh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</row>
    <row r="292" spans="1:63" ht="23.25" customHeigh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</row>
    <row r="293" spans="1:63" ht="23.25" customHeigh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</row>
    <row r="294" spans="1:63" ht="23.25" customHeigh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</row>
    <row r="295" spans="1:63" ht="23.25" customHeigh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</row>
    <row r="296" spans="1:63" ht="23.25" customHeigh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</row>
    <row r="297" spans="1:63" ht="23.25" customHeigh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</row>
    <row r="298" spans="1:63" ht="23.25" customHeigh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</row>
    <row r="299" spans="1:63" ht="23.25" customHeigh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</row>
    <row r="300" spans="1:63" ht="23.25" customHeigh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</row>
    <row r="301" spans="1:63" ht="23.25" customHeigh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</row>
    <row r="302" spans="1:63" ht="23.25" customHeigh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</row>
    <row r="303" spans="1:63" ht="23.25" customHeigh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</row>
    <row r="304" spans="1:63" ht="23.25" customHeigh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</row>
    <row r="305" spans="1:63" ht="23.25" customHeigh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</row>
    <row r="306" spans="1:63" ht="23.25" customHeigh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</row>
    <row r="307" spans="1:63" ht="23.25" customHeigh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</row>
    <row r="308" spans="1:63" ht="23.25" customHeigh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</row>
    <row r="309" spans="1:63" ht="23.25" customHeigh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</row>
    <row r="310" spans="1:63" ht="23.25" customHeigh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</row>
    <row r="311" spans="1:63" ht="23.25" customHeigh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</row>
    <row r="312" spans="1:63" ht="23.25" customHeigh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</row>
    <row r="313" spans="1:63" ht="23.25" customHeigh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</row>
    <row r="314" spans="1:63" ht="23.25" customHeigh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</row>
    <row r="315" spans="1:63" ht="23.25" customHeigh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</row>
    <row r="316" spans="1:63" ht="23.25" customHeigh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</row>
    <row r="317" spans="1:63" ht="23.25" customHeigh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</row>
    <row r="318" spans="1:63" ht="23.25" customHeigh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</row>
    <row r="319" spans="1:63" ht="23.25" customHeigh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</row>
    <row r="320" spans="1:63" ht="23.25" customHeigh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</row>
    <row r="321" spans="1:63" ht="23.25" customHeigh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</row>
    <row r="322" spans="1:63" ht="23.25" customHeigh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</row>
    <row r="323" spans="1:63" ht="23.25" customHeigh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</row>
    <row r="324" spans="1:63" ht="23.25" customHeigh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</row>
    <row r="325" spans="1:63" ht="23.25" customHeigh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</row>
    <row r="326" spans="1:63" ht="23.25" customHeigh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</row>
    <row r="327" spans="1:63" ht="23.25" customHeigh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</row>
    <row r="328" spans="1:63" ht="23.25" customHeigh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</row>
    <row r="329" spans="1:63" ht="23.25" customHeigh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</row>
    <row r="330" spans="1:63" ht="23.25" customHeigh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</row>
    <row r="331" spans="1:63" ht="23.25" customHeigh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</row>
    <row r="332" spans="1:63" ht="23.25" customHeigh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</row>
    <row r="333" spans="1:63" ht="23.25" customHeigh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</row>
    <row r="334" spans="1:63" ht="23.25" customHeigh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</row>
    <row r="335" spans="1:63" ht="23.25" customHeigh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</row>
    <row r="336" spans="1:63" ht="23.25" customHeigh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</row>
    <row r="337" spans="1:63" ht="23.25" customHeigh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</row>
    <row r="338" spans="1:63" ht="23.25" customHeigh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</row>
    <row r="339" spans="1:63" ht="23.25" customHeigh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</row>
    <row r="340" spans="1:63" ht="23.25" customHeigh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</row>
    <row r="341" spans="1:63" ht="23.25" customHeigh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</row>
    <row r="342" spans="1:63" ht="23.25" customHeigh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</row>
    <row r="343" spans="1:63" ht="23.25" customHeigh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</row>
    <row r="344" spans="1:63" ht="23.25" customHeigh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</row>
    <row r="345" spans="1:63" ht="23.25" customHeigh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</row>
    <row r="346" spans="1:63" ht="23.25" customHeigh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</row>
    <row r="347" spans="1:63" ht="23.25" customHeigh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</row>
    <row r="348" spans="1:63" ht="23.25" customHeigh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</row>
    <row r="349" spans="1:63" ht="23.25" customHeigh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</row>
    <row r="350" spans="1:63" ht="23.25" customHeigh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</row>
    <row r="351" spans="1:63" ht="23.25" customHeigh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</row>
    <row r="352" spans="1:63" ht="23.25" customHeigh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</row>
    <row r="353" spans="1:63" ht="23.25" customHeigh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</row>
    <row r="354" spans="1:63" ht="23.25" customHeigh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</row>
    <row r="355" spans="1:63" ht="23.25" customHeigh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</row>
    <row r="356" spans="1:63" ht="23.25" customHeigh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</row>
    <row r="357" spans="1:63" ht="23.25" customHeigh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</row>
    <row r="358" spans="1:63" ht="23.25" customHeigh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</row>
    <row r="359" spans="1:63" ht="23.25" customHeigh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</row>
    <row r="360" spans="1:63" ht="23.25" customHeigh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</row>
    <row r="361" spans="1:63" ht="23.25" customHeigh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</row>
    <row r="362" spans="1:63" ht="23.25" customHeigh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</row>
    <row r="363" spans="1:63" ht="23.25" customHeigh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</row>
    <row r="364" spans="1:63" ht="23.25" customHeigh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</row>
    <row r="365" spans="1:63" ht="23.25" customHeigh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</row>
    <row r="366" spans="1:63" ht="23.25" customHeigh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</row>
    <row r="367" spans="1:63" ht="23.25" customHeigh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</row>
    <row r="368" spans="1:63" ht="23.25" customHeigh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</row>
    <row r="369" spans="1:63" ht="23.25" customHeigh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</row>
    <row r="370" spans="1:63" ht="23.25" customHeigh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</row>
    <row r="371" spans="1:63" ht="23.25" customHeigh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</row>
    <row r="372" spans="1:63" ht="23.25" customHeigh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</row>
    <row r="373" spans="1:63" ht="23.25" customHeigh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</row>
    <row r="374" spans="1:63" ht="23.25" customHeigh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</row>
    <row r="375" spans="1:63" ht="23.25" customHeigh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</row>
    <row r="376" spans="1:63" ht="23.25" customHeigh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</row>
    <row r="377" spans="1:63" ht="23.25" customHeigh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</row>
    <row r="378" spans="1:63" ht="23.25" customHeigh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</row>
    <row r="379" spans="1:63" ht="23.25" customHeigh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</row>
    <row r="380" spans="1:63" ht="23.25" customHeigh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</row>
    <row r="381" spans="1:63" ht="23.25" customHeigh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</row>
    <row r="382" spans="1:63" ht="23.25" customHeigh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</row>
    <row r="383" spans="1:63" ht="23.25" customHeigh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</row>
    <row r="384" spans="1:63" ht="23.25" customHeigh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</row>
    <row r="385" spans="1:63" ht="23.25" customHeigh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</row>
    <row r="386" spans="1:63" ht="23.25" customHeigh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</row>
    <row r="387" spans="1:63" ht="23.25" customHeigh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</row>
    <row r="388" spans="1:63" ht="23.25" customHeigh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</row>
    <row r="389" spans="1:63" ht="23.25" customHeigh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</row>
    <row r="390" spans="1:63" ht="23.25" customHeigh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</row>
    <row r="391" spans="1:63" ht="23.25" customHeigh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</row>
    <row r="392" spans="1:63" ht="23.25" customHeigh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</row>
    <row r="393" spans="1:63" ht="23.25" customHeigh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</row>
    <row r="394" spans="1:63" ht="23.25" customHeigh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</row>
    <row r="395" spans="1:63" ht="23.25" customHeigh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</row>
    <row r="396" spans="1:63" ht="23.25" customHeigh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</row>
    <row r="397" spans="1:63" ht="23.25" customHeigh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</row>
    <row r="398" spans="1:63" ht="23.25" customHeigh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</row>
    <row r="399" spans="1:63" ht="23.25" customHeigh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</row>
    <row r="400" spans="1:63" ht="23.25" customHeigh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</row>
    <row r="401" spans="1:63" ht="23.25" customHeigh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</row>
    <row r="402" spans="1:63" ht="23.25" customHeigh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</row>
    <row r="403" spans="1:63" ht="23.25" customHeigh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</row>
    <row r="404" spans="1:63" ht="23.25" customHeigh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</row>
    <row r="405" spans="1:63" ht="23.25" customHeigh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</row>
    <row r="406" spans="1:63" ht="23.25" customHeigh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</row>
    <row r="407" spans="1:63" ht="23.25" customHeigh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</row>
    <row r="408" spans="1:63" ht="23.25" customHeigh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</row>
    <row r="409" spans="1:63" ht="23.25" customHeigh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</row>
    <row r="410" spans="1:63" ht="23.25" customHeigh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</row>
    <row r="411" spans="1:63" ht="23.25" customHeigh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</row>
    <row r="412" spans="1:63" ht="23.25" customHeigh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</row>
    <row r="413" spans="1:63" ht="23.25" customHeigh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</row>
    <row r="414" spans="1:63" ht="23.25" customHeigh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</row>
    <row r="415" spans="1:63" ht="23.25" customHeigh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</row>
    <row r="416" spans="1:63" ht="23.25" customHeigh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</row>
    <row r="417" spans="1:63" ht="23.25" customHeigh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</row>
    <row r="418" spans="1:63" ht="23.25" customHeigh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</row>
    <row r="419" spans="1:63" ht="23.25" customHeigh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</row>
    <row r="420" spans="1:63" ht="23.25" customHeigh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</row>
    <row r="421" spans="1:63" ht="23.25" customHeigh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</row>
    <row r="422" spans="1:63" ht="23.25" customHeigh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</row>
    <row r="423" spans="1:63" ht="23.25" customHeigh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</row>
    <row r="424" spans="1:63" ht="23.25" customHeigh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</row>
    <row r="425" spans="1:63" ht="23.25" customHeigh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</row>
    <row r="426" spans="1:63" ht="23.25" customHeigh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</row>
    <row r="427" spans="1:63" ht="23.25" customHeight="1" x14ac:dyDescent="0.3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</row>
    <row r="428" spans="1:63" ht="23.25" customHeight="1" x14ac:dyDescent="0.3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</row>
    <row r="429" spans="1:63" ht="23.25" customHeight="1" x14ac:dyDescent="0.3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</row>
    <row r="430" spans="1:63" ht="23.25" customHeight="1" x14ac:dyDescent="0.3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</row>
    <row r="431" spans="1:63" ht="23.25" customHeight="1" x14ac:dyDescent="0.3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</row>
    <row r="432" spans="1:63" ht="23.25" customHeight="1" x14ac:dyDescent="0.3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</row>
    <row r="433" spans="1:63" ht="23.25" customHeight="1" x14ac:dyDescent="0.3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</row>
    <row r="434" spans="1:63" ht="23.25" customHeight="1" x14ac:dyDescent="0.3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</row>
    <row r="435" spans="1:63" ht="23.25" customHeight="1" x14ac:dyDescent="0.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</row>
    <row r="436" spans="1:63" ht="23.25" customHeight="1" x14ac:dyDescent="0.3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</row>
    <row r="437" spans="1:63" ht="23.25" customHeight="1" x14ac:dyDescent="0.3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</row>
    <row r="438" spans="1:63" ht="23.25" customHeight="1" x14ac:dyDescent="0.3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</row>
    <row r="439" spans="1:63" ht="23.25" customHeight="1" x14ac:dyDescent="0.3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</row>
    <row r="440" spans="1:63" ht="23.25" customHeight="1" x14ac:dyDescent="0.3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</row>
    <row r="441" spans="1:63" ht="23.25" customHeight="1" x14ac:dyDescent="0.3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</row>
    <row r="442" spans="1:63" ht="23.25" customHeight="1" x14ac:dyDescent="0.3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</row>
    <row r="443" spans="1:63" ht="23.25" customHeight="1" x14ac:dyDescent="0.3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</row>
    <row r="444" spans="1:63" ht="23.25" customHeight="1" x14ac:dyDescent="0.3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</row>
    <row r="445" spans="1:63" ht="23.25" customHeight="1" x14ac:dyDescent="0.3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</row>
    <row r="446" spans="1:63" ht="23.25" customHeight="1" x14ac:dyDescent="0.3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</row>
    <row r="447" spans="1:63" ht="23.25" customHeight="1" x14ac:dyDescent="0.3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</row>
    <row r="448" spans="1:63" ht="23.25" customHeight="1" x14ac:dyDescent="0.3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</row>
    <row r="449" spans="1:63" ht="23.25" customHeight="1" x14ac:dyDescent="0.3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</row>
    <row r="450" spans="1:63" ht="23.25" customHeight="1" x14ac:dyDescent="0.3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</row>
    <row r="451" spans="1:63" ht="23.25" customHeight="1" x14ac:dyDescent="0.3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</row>
    <row r="452" spans="1:63" ht="23.25" customHeight="1" x14ac:dyDescent="0.3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</row>
    <row r="453" spans="1:63" ht="23.25" customHeight="1" x14ac:dyDescent="0.3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</row>
    <row r="454" spans="1:63" ht="23.25" customHeight="1" x14ac:dyDescent="0.3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</row>
    <row r="455" spans="1:63" ht="23.25" customHeight="1" x14ac:dyDescent="0.3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</row>
    <row r="456" spans="1:63" ht="23.25" customHeight="1" x14ac:dyDescent="0.3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</row>
    <row r="457" spans="1:63" ht="23.25" customHeight="1" x14ac:dyDescent="0.3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</row>
    <row r="458" spans="1:63" ht="23.25" customHeight="1" x14ac:dyDescent="0.3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</row>
    <row r="459" spans="1:63" ht="23.25" customHeight="1" x14ac:dyDescent="0.3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</row>
    <row r="460" spans="1:63" ht="23.25" customHeight="1" x14ac:dyDescent="0.3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</row>
    <row r="461" spans="1:63" ht="23.25" customHeight="1" x14ac:dyDescent="0.3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</row>
    <row r="462" spans="1:63" ht="23.25" customHeight="1" x14ac:dyDescent="0.3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</row>
    <row r="463" spans="1:63" ht="23.25" customHeight="1" x14ac:dyDescent="0.3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</row>
    <row r="464" spans="1:63" ht="23.25" customHeight="1" x14ac:dyDescent="0.3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</row>
    <row r="465" spans="1:63" ht="23.25" customHeight="1" x14ac:dyDescent="0.3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</row>
    <row r="466" spans="1:63" ht="23.25" customHeight="1" x14ac:dyDescent="0.3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</row>
    <row r="467" spans="1:63" ht="23.25" customHeight="1" x14ac:dyDescent="0.3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</row>
    <row r="468" spans="1:63" ht="23.25" customHeight="1" x14ac:dyDescent="0.3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</row>
    <row r="469" spans="1:63" ht="23.25" customHeight="1" x14ac:dyDescent="0.3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</row>
    <row r="470" spans="1:63" ht="23.25" customHeight="1" x14ac:dyDescent="0.3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</row>
    <row r="471" spans="1:63" ht="23.25" customHeight="1" x14ac:dyDescent="0.3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</row>
    <row r="472" spans="1:63" ht="23.25" customHeight="1" x14ac:dyDescent="0.3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</row>
    <row r="473" spans="1:63" ht="23.25" customHeight="1" x14ac:dyDescent="0.3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</row>
    <row r="474" spans="1:63" ht="23.25" customHeight="1" x14ac:dyDescent="0.3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</row>
    <row r="475" spans="1:63" ht="23.25" customHeight="1" x14ac:dyDescent="0.3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</row>
    <row r="476" spans="1:63" ht="23.25" customHeight="1" x14ac:dyDescent="0.3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</row>
    <row r="477" spans="1:63" ht="23.25" customHeight="1" x14ac:dyDescent="0.3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</row>
    <row r="478" spans="1:63" ht="23.25" customHeight="1" x14ac:dyDescent="0.3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</row>
    <row r="479" spans="1:63" ht="23.25" customHeight="1" x14ac:dyDescent="0.3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</row>
    <row r="480" spans="1:63" ht="23.25" customHeight="1" x14ac:dyDescent="0.3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</row>
    <row r="481" spans="1:63" ht="23.25" customHeight="1" x14ac:dyDescent="0.3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</row>
    <row r="482" spans="1:63" ht="23.25" customHeight="1" x14ac:dyDescent="0.3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</row>
    <row r="483" spans="1:63" ht="23.25" customHeight="1" x14ac:dyDescent="0.3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</row>
    <row r="484" spans="1:63" ht="23.25" customHeight="1" x14ac:dyDescent="0.3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</row>
    <row r="485" spans="1:63" ht="23.25" customHeight="1" x14ac:dyDescent="0.3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</row>
    <row r="486" spans="1:63" ht="23.25" customHeight="1" x14ac:dyDescent="0.3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</row>
    <row r="487" spans="1:63" ht="23.25" customHeight="1" x14ac:dyDescent="0.3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</row>
    <row r="488" spans="1:63" ht="23.25" customHeight="1" x14ac:dyDescent="0.3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</row>
    <row r="489" spans="1:63" ht="23.25" customHeight="1" x14ac:dyDescent="0.3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</row>
    <row r="490" spans="1:63" ht="23.25" customHeight="1" x14ac:dyDescent="0.3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</row>
    <row r="491" spans="1:63" ht="23.25" customHeight="1" x14ac:dyDescent="0.3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</row>
    <row r="492" spans="1:63" ht="23.25" customHeight="1" x14ac:dyDescent="0.3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</row>
    <row r="493" spans="1:63" ht="23.25" customHeight="1" x14ac:dyDescent="0.3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</row>
    <row r="494" spans="1:63" ht="23.25" customHeight="1" x14ac:dyDescent="0.3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</row>
    <row r="495" spans="1:63" ht="23.25" customHeight="1" x14ac:dyDescent="0.3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</row>
    <row r="496" spans="1:63" ht="23.25" customHeight="1" x14ac:dyDescent="0.3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</row>
    <row r="497" spans="1:63" ht="23.25" customHeight="1" x14ac:dyDescent="0.3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</row>
    <row r="498" spans="1:63" ht="23.25" customHeight="1" x14ac:dyDescent="0.3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</row>
    <row r="499" spans="1:63" ht="23.25" customHeight="1" x14ac:dyDescent="0.3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</row>
    <row r="500" spans="1:63" ht="23.25" customHeight="1" x14ac:dyDescent="0.3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</row>
    <row r="501" spans="1:63" ht="23.25" customHeight="1" x14ac:dyDescent="0.3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</row>
    <row r="502" spans="1:63" ht="23.25" customHeight="1" x14ac:dyDescent="0.3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</row>
    <row r="503" spans="1:63" ht="23.25" customHeight="1" x14ac:dyDescent="0.3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</row>
    <row r="504" spans="1:63" ht="23.25" customHeight="1" x14ac:dyDescent="0.3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</row>
    <row r="505" spans="1:63" ht="23.25" customHeight="1" x14ac:dyDescent="0.3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</row>
    <row r="506" spans="1:63" ht="23.25" customHeight="1" x14ac:dyDescent="0.3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</row>
    <row r="507" spans="1:63" ht="23.25" customHeight="1" x14ac:dyDescent="0.3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</row>
    <row r="508" spans="1:63" ht="23.25" customHeight="1" x14ac:dyDescent="0.3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</row>
    <row r="509" spans="1:63" ht="23.25" customHeight="1" x14ac:dyDescent="0.3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</row>
    <row r="510" spans="1:63" ht="23.25" customHeight="1" x14ac:dyDescent="0.3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</row>
    <row r="511" spans="1:63" ht="23.25" customHeight="1" x14ac:dyDescent="0.3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</row>
    <row r="512" spans="1:63" ht="23.25" customHeight="1" x14ac:dyDescent="0.3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</row>
    <row r="513" spans="1:63" ht="23.25" customHeight="1" x14ac:dyDescent="0.3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</row>
    <row r="514" spans="1:63" ht="23.25" customHeight="1" x14ac:dyDescent="0.3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</row>
    <row r="515" spans="1:63" ht="23.25" customHeight="1" x14ac:dyDescent="0.3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</row>
    <row r="516" spans="1:63" ht="23.25" customHeight="1" x14ac:dyDescent="0.3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</row>
    <row r="517" spans="1:63" ht="23.25" customHeight="1" x14ac:dyDescent="0.3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</row>
    <row r="518" spans="1:63" ht="23.25" customHeight="1" x14ac:dyDescent="0.3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</row>
    <row r="519" spans="1:63" ht="23.25" customHeight="1" x14ac:dyDescent="0.3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</row>
    <row r="520" spans="1:63" ht="23.25" customHeight="1" x14ac:dyDescent="0.3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</row>
    <row r="521" spans="1:63" ht="23.25" customHeight="1" x14ac:dyDescent="0.3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</row>
    <row r="522" spans="1:63" ht="23.25" customHeight="1" x14ac:dyDescent="0.3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</row>
    <row r="523" spans="1:63" ht="23.25" customHeight="1" x14ac:dyDescent="0.3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</row>
    <row r="524" spans="1:63" ht="23.25" customHeight="1" x14ac:dyDescent="0.3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</row>
    <row r="525" spans="1:63" ht="23.25" customHeight="1" x14ac:dyDescent="0.3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</row>
    <row r="526" spans="1:63" ht="23.25" customHeight="1" x14ac:dyDescent="0.3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</row>
    <row r="527" spans="1:63" ht="23.25" customHeight="1" x14ac:dyDescent="0.3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</row>
    <row r="528" spans="1:63" ht="23.25" customHeight="1" x14ac:dyDescent="0.3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</row>
    <row r="529" spans="1:63" ht="23.25" customHeight="1" x14ac:dyDescent="0.3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</row>
    <row r="530" spans="1:63" ht="23.25" customHeight="1" x14ac:dyDescent="0.3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</row>
    <row r="531" spans="1:63" ht="23.25" customHeight="1" x14ac:dyDescent="0.3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</row>
    <row r="532" spans="1:63" ht="23.25" customHeight="1" x14ac:dyDescent="0.3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</row>
    <row r="533" spans="1:63" ht="23.25" customHeight="1" x14ac:dyDescent="0.3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</row>
    <row r="534" spans="1:63" ht="23.25" customHeight="1" x14ac:dyDescent="0.3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</row>
    <row r="535" spans="1:63" ht="23.25" customHeight="1" x14ac:dyDescent="0.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</row>
    <row r="536" spans="1:63" ht="23.25" customHeight="1" x14ac:dyDescent="0.3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</row>
    <row r="537" spans="1:63" ht="23.25" customHeight="1" x14ac:dyDescent="0.3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</row>
    <row r="538" spans="1:63" ht="23.25" customHeight="1" x14ac:dyDescent="0.3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</row>
    <row r="539" spans="1:63" ht="23.25" customHeight="1" x14ac:dyDescent="0.3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</row>
    <row r="540" spans="1:63" ht="23.25" customHeight="1" x14ac:dyDescent="0.3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</row>
    <row r="541" spans="1:63" ht="23.25" customHeight="1" x14ac:dyDescent="0.3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</row>
    <row r="542" spans="1:63" ht="23.25" customHeight="1" x14ac:dyDescent="0.3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</row>
    <row r="543" spans="1:63" ht="23.25" customHeight="1" x14ac:dyDescent="0.3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</row>
    <row r="544" spans="1:63" ht="23.25" customHeight="1" x14ac:dyDescent="0.3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</row>
    <row r="545" spans="1:63" ht="23.25" customHeight="1" x14ac:dyDescent="0.3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</row>
    <row r="546" spans="1:63" ht="23.25" customHeight="1" x14ac:dyDescent="0.3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</row>
    <row r="547" spans="1:63" ht="23.25" customHeight="1" x14ac:dyDescent="0.3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</row>
    <row r="548" spans="1:63" ht="23.25" customHeight="1" x14ac:dyDescent="0.3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</row>
    <row r="549" spans="1:63" ht="23.25" customHeight="1" x14ac:dyDescent="0.3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</row>
    <row r="550" spans="1:63" ht="23.25" customHeight="1" x14ac:dyDescent="0.3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</row>
    <row r="551" spans="1:63" ht="23.25" customHeight="1" x14ac:dyDescent="0.3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</row>
    <row r="552" spans="1:63" ht="23.25" customHeight="1" x14ac:dyDescent="0.3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</row>
    <row r="553" spans="1:63" ht="23.25" customHeight="1" x14ac:dyDescent="0.3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</row>
    <row r="554" spans="1:63" ht="23.25" customHeight="1" x14ac:dyDescent="0.3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</row>
    <row r="555" spans="1:63" ht="23.25" customHeight="1" x14ac:dyDescent="0.3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</row>
    <row r="556" spans="1:63" ht="23.25" customHeight="1" x14ac:dyDescent="0.3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</row>
    <row r="557" spans="1:63" ht="23.25" customHeight="1" x14ac:dyDescent="0.3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</row>
    <row r="558" spans="1:63" ht="23.25" customHeight="1" x14ac:dyDescent="0.3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</row>
    <row r="559" spans="1:63" ht="23.25" customHeight="1" x14ac:dyDescent="0.3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</row>
    <row r="560" spans="1:63" ht="23.25" customHeight="1" x14ac:dyDescent="0.3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</row>
    <row r="561" spans="1:63" ht="23.25" customHeight="1" x14ac:dyDescent="0.3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</row>
    <row r="562" spans="1:63" ht="23.25" customHeight="1" x14ac:dyDescent="0.3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</row>
    <row r="563" spans="1:63" ht="23.25" customHeight="1" x14ac:dyDescent="0.3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</row>
    <row r="564" spans="1:63" ht="23.25" customHeight="1" x14ac:dyDescent="0.3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</row>
    <row r="565" spans="1:63" ht="23.25" customHeight="1" x14ac:dyDescent="0.3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</row>
    <row r="566" spans="1:63" ht="23.25" customHeight="1" x14ac:dyDescent="0.3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</row>
    <row r="567" spans="1:63" ht="23.25" customHeight="1" x14ac:dyDescent="0.3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</row>
    <row r="568" spans="1:63" ht="23.25" customHeight="1" x14ac:dyDescent="0.3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</row>
    <row r="569" spans="1:63" ht="23.25" customHeight="1" x14ac:dyDescent="0.3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</row>
    <row r="570" spans="1:63" ht="23.25" customHeight="1" x14ac:dyDescent="0.3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</row>
    <row r="571" spans="1:63" ht="23.25" customHeight="1" x14ac:dyDescent="0.3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</row>
    <row r="572" spans="1:63" ht="23.25" customHeight="1" x14ac:dyDescent="0.3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</row>
    <row r="573" spans="1:63" ht="23.25" customHeight="1" x14ac:dyDescent="0.3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</row>
    <row r="574" spans="1:63" ht="23.25" customHeight="1" x14ac:dyDescent="0.3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</row>
    <row r="575" spans="1:63" ht="23.25" customHeight="1" x14ac:dyDescent="0.3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</row>
    <row r="576" spans="1:63" ht="23.25" customHeight="1" x14ac:dyDescent="0.3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</row>
    <row r="577" spans="1:63" ht="23.25" customHeight="1" x14ac:dyDescent="0.3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</row>
    <row r="578" spans="1:63" ht="23.25" customHeight="1" x14ac:dyDescent="0.3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</row>
    <row r="579" spans="1:63" ht="23.25" customHeight="1" x14ac:dyDescent="0.3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</row>
    <row r="580" spans="1:63" ht="23.25" customHeight="1" x14ac:dyDescent="0.3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</row>
    <row r="581" spans="1:63" ht="23.25" customHeight="1" x14ac:dyDescent="0.3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</row>
    <row r="582" spans="1:63" ht="23.25" customHeight="1" x14ac:dyDescent="0.3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</row>
    <row r="583" spans="1:63" ht="23.25" customHeight="1" x14ac:dyDescent="0.3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</row>
    <row r="584" spans="1:63" ht="23.25" customHeight="1" x14ac:dyDescent="0.3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</row>
    <row r="585" spans="1:63" ht="23.25" customHeight="1" x14ac:dyDescent="0.3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</row>
    <row r="586" spans="1:63" ht="23.25" customHeight="1" x14ac:dyDescent="0.3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</row>
    <row r="587" spans="1:63" ht="23.25" customHeight="1" x14ac:dyDescent="0.3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</row>
    <row r="588" spans="1:63" ht="23.25" customHeight="1" x14ac:dyDescent="0.3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</row>
    <row r="589" spans="1:63" ht="23.25" customHeight="1" x14ac:dyDescent="0.3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</row>
    <row r="590" spans="1:63" ht="23.25" customHeight="1" x14ac:dyDescent="0.3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</row>
    <row r="591" spans="1:63" ht="23.25" customHeight="1" x14ac:dyDescent="0.3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</row>
    <row r="592" spans="1:63" ht="23.25" customHeight="1" x14ac:dyDescent="0.3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</row>
    <row r="593" spans="1:63" ht="23.25" customHeight="1" x14ac:dyDescent="0.3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</row>
    <row r="594" spans="1:63" ht="23.25" customHeight="1" x14ac:dyDescent="0.3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</row>
    <row r="595" spans="1:63" ht="23.25" customHeight="1" x14ac:dyDescent="0.3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</row>
    <row r="596" spans="1:63" ht="23.25" customHeight="1" x14ac:dyDescent="0.3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</row>
    <row r="597" spans="1:63" ht="23.25" customHeight="1" x14ac:dyDescent="0.3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</row>
    <row r="598" spans="1:63" ht="23.25" customHeight="1" x14ac:dyDescent="0.3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</row>
    <row r="599" spans="1:63" ht="23.25" customHeight="1" x14ac:dyDescent="0.3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</row>
    <row r="600" spans="1:63" ht="23.25" customHeight="1" x14ac:dyDescent="0.3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</row>
    <row r="601" spans="1:63" ht="23.25" customHeight="1" x14ac:dyDescent="0.3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</row>
    <row r="602" spans="1:63" ht="23.25" customHeight="1" x14ac:dyDescent="0.3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</row>
    <row r="603" spans="1:63" ht="23.25" customHeight="1" x14ac:dyDescent="0.3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</row>
    <row r="604" spans="1:63" ht="23.25" customHeight="1" x14ac:dyDescent="0.3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</row>
    <row r="605" spans="1:63" ht="23.25" customHeight="1" x14ac:dyDescent="0.3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</row>
    <row r="606" spans="1:63" ht="23.25" customHeight="1" x14ac:dyDescent="0.3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</row>
    <row r="607" spans="1:63" ht="23.25" customHeight="1" x14ac:dyDescent="0.3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</row>
    <row r="608" spans="1:63" ht="23.25" customHeight="1" x14ac:dyDescent="0.3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</row>
    <row r="609" spans="1:63" ht="23.25" customHeight="1" x14ac:dyDescent="0.3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</row>
    <row r="610" spans="1:63" ht="23.25" customHeight="1" x14ac:dyDescent="0.3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</row>
    <row r="611" spans="1:63" ht="23.25" customHeight="1" x14ac:dyDescent="0.3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</row>
    <row r="612" spans="1:63" ht="23.25" customHeight="1" x14ac:dyDescent="0.3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</row>
    <row r="613" spans="1:63" ht="23.25" customHeight="1" x14ac:dyDescent="0.3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</row>
    <row r="614" spans="1:63" ht="23.25" customHeight="1" x14ac:dyDescent="0.3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</row>
    <row r="615" spans="1:63" ht="23.25" customHeight="1" x14ac:dyDescent="0.3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</row>
    <row r="616" spans="1:63" ht="23.25" customHeight="1" x14ac:dyDescent="0.3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</row>
    <row r="617" spans="1:63" ht="23.25" customHeight="1" x14ac:dyDescent="0.3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</row>
    <row r="618" spans="1:63" ht="23.25" customHeight="1" x14ac:dyDescent="0.3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</row>
    <row r="619" spans="1:63" ht="23.25" customHeight="1" x14ac:dyDescent="0.3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</row>
    <row r="620" spans="1:63" ht="23.25" customHeight="1" x14ac:dyDescent="0.3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</row>
    <row r="621" spans="1:63" ht="23.25" customHeight="1" x14ac:dyDescent="0.3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</row>
    <row r="622" spans="1:63" ht="23.25" customHeight="1" x14ac:dyDescent="0.3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</row>
    <row r="623" spans="1:63" ht="23.25" customHeight="1" x14ac:dyDescent="0.3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</row>
    <row r="624" spans="1:63" ht="23.25" customHeight="1" x14ac:dyDescent="0.3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</row>
    <row r="625" spans="1:63" ht="23.25" customHeight="1" x14ac:dyDescent="0.3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</row>
    <row r="626" spans="1:63" ht="23.25" customHeight="1" x14ac:dyDescent="0.3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</row>
    <row r="627" spans="1:63" ht="23.25" customHeight="1" x14ac:dyDescent="0.3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</row>
    <row r="628" spans="1:63" ht="23.25" customHeight="1" x14ac:dyDescent="0.3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</row>
    <row r="629" spans="1:63" ht="23.25" customHeight="1" x14ac:dyDescent="0.3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</row>
    <row r="630" spans="1:63" ht="23.25" customHeight="1" x14ac:dyDescent="0.3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</row>
    <row r="631" spans="1:63" ht="23.25" customHeight="1" x14ac:dyDescent="0.3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</row>
    <row r="632" spans="1:63" ht="23.25" customHeight="1" x14ac:dyDescent="0.3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</row>
    <row r="633" spans="1:63" ht="23.25" customHeight="1" x14ac:dyDescent="0.3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</row>
    <row r="634" spans="1:63" ht="23.25" customHeight="1" x14ac:dyDescent="0.3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</row>
    <row r="635" spans="1:63" ht="23.25" customHeight="1" x14ac:dyDescent="0.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</row>
    <row r="636" spans="1:63" ht="23.25" customHeight="1" x14ac:dyDescent="0.3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</row>
    <row r="637" spans="1:63" ht="23.25" customHeight="1" x14ac:dyDescent="0.3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</row>
    <row r="638" spans="1:63" ht="23.25" customHeight="1" x14ac:dyDescent="0.3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</row>
    <row r="639" spans="1:63" ht="23.25" customHeight="1" x14ac:dyDescent="0.3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</row>
    <row r="640" spans="1:63" ht="23.25" customHeight="1" x14ac:dyDescent="0.3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</row>
    <row r="641" spans="1:63" ht="23.25" customHeight="1" x14ac:dyDescent="0.3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</row>
    <row r="642" spans="1:63" ht="23.25" customHeight="1" x14ac:dyDescent="0.3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</row>
    <row r="643" spans="1:63" ht="23.25" customHeight="1" x14ac:dyDescent="0.3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</row>
    <row r="644" spans="1:63" ht="23.25" customHeight="1" x14ac:dyDescent="0.3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</row>
    <row r="645" spans="1:63" ht="23.25" customHeight="1" x14ac:dyDescent="0.3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</row>
    <row r="646" spans="1:63" ht="23.25" customHeight="1" x14ac:dyDescent="0.3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</row>
    <row r="647" spans="1:63" ht="23.25" customHeight="1" x14ac:dyDescent="0.3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</row>
    <row r="648" spans="1:63" ht="23.25" customHeight="1" x14ac:dyDescent="0.3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</row>
    <row r="649" spans="1:63" ht="23.25" customHeight="1" x14ac:dyDescent="0.3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</row>
    <row r="650" spans="1:63" ht="23.25" customHeight="1" x14ac:dyDescent="0.3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</row>
    <row r="651" spans="1:63" ht="23.25" customHeight="1" x14ac:dyDescent="0.3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</row>
    <row r="652" spans="1:63" ht="23.25" customHeight="1" x14ac:dyDescent="0.3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</row>
    <row r="653" spans="1:63" ht="23.25" customHeight="1" x14ac:dyDescent="0.3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</row>
    <row r="654" spans="1:63" ht="23.25" customHeight="1" x14ac:dyDescent="0.3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</row>
    <row r="655" spans="1:63" ht="23.25" customHeight="1" x14ac:dyDescent="0.3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</row>
    <row r="656" spans="1:63" ht="23.25" customHeight="1" x14ac:dyDescent="0.3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</row>
    <row r="657" spans="1:63" ht="23.25" customHeight="1" x14ac:dyDescent="0.3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</row>
    <row r="658" spans="1:63" ht="23.25" customHeight="1" x14ac:dyDescent="0.3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</row>
    <row r="659" spans="1:63" ht="23.25" customHeight="1" x14ac:dyDescent="0.3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</row>
    <row r="660" spans="1:63" ht="23.25" customHeight="1" x14ac:dyDescent="0.3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</row>
    <row r="661" spans="1:63" ht="23.25" customHeight="1" x14ac:dyDescent="0.3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</row>
    <row r="662" spans="1:63" ht="23.25" customHeight="1" x14ac:dyDescent="0.3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</row>
    <row r="663" spans="1:63" ht="23.25" customHeight="1" x14ac:dyDescent="0.3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</row>
    <row r="664" spans="1:63" ht="23.25" customHeight="1" x14ac:dyDescent="0.3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</row>
    <row r="665" spans="1:63" ht="23.25" customHeight="1" x14ac:dyDescent="0.3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</row>
    <row r="666" spans="1:63" ht="23.25" customHeight="1" x14ac:dyDescent="0.3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</row>
    <row r="667" spans="1:63" ht="23.25" customHeight="1" x14ac:dyDescent="0.3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</row>
    <row r="668" spans="1:63" ht="23.25" customHeight="1" x14ac:dyDescent="0.3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</row>
    <row r="669" spans="1:63" ht="23.25" customHeight="1" x14ac:dyDescent="0.3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</row>
    <row r="670" spans="1:63" ht="23.25" customHeight="1" x14ac:dyDescent="0.3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</row>
    <row r="671" spans="1:63" ht="23.25" customHeight="1" x14ac:dyDescent="0.3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</row>
    <row r="672" spans="1:63" ht="23.25" customHeight="1" x14ac:dyDescent="0.3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</row>
    <row r="673" spans="1:63" ht="23.25" customHeight="1" x14ac:dyDescent="0.3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</row>
    <row r="674" spans="1:63" ht="23.25" customHeight="1" x14ac:dyDescent="0.3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</row>
    <row r="675" spans="1:63" ht="23.25" customHeight="1" x14ac:dyDescent="0.3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</row>
    <row r="676" spans="1:63" ht="23.25" customHeight="1" x14ac:dyDescent="0.3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</row>
    <row r="677" spans="1:63" ht="23.25" customHeight="1" x14ac:dyDescent="0.3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</row>
    <row r="678" spans="1:63" ht="23.25" customHeight="1" x14ac:dyDescent="0.3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</row>
    <row r="679" spans="1:63" ht="23.25" customHeight="1" x14ac:dyDescent="0.3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</row>
    <row r="680" spans="1:63" ht="23.25" customHeight="1" x14ac:dyDescent="0.3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</row>
    <row r="681" spans="1:63" ht="23.25" customHeight="1" x14ac:dyDescent="0.3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</row>
    <row r="682" spans="1:63" ht="23.25" customHeight="1" x14ac:dyDescent="0.3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</row>
    <row r="683" spans="1:63" ht="23.25" customHeight="1" x14ac:dyDescent="0.3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</row>
    <row r="684" spans="1:63" ht="23.25" customHeight="1" x14ac:dyDescent="0.3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</row>
    <row r="685" spans="1:63" ht="23.25" customHeight="1" x14ac:dyDescent="0.3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</row>
    <row r="686" spans="1:63" ht="23.25" customHeight="1" x14ac:dyDescent="0.3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</row>
    <row r="687" spans="1:63" ht="23.25" customHeight="1" x14ac:dyDescent="0.3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</row>
    <row r="688" spans="1:63" ht="23.25" customHeight="1" x14ac:dyDescent="0.3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</row>
    <row r="689" spans="1:63" ht="23.25" customHeight="1" x14ac:dyDescent="0.3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</row>
    <row r="690" spans="1:63" ht="23.25" customHeight="1" x14ac:dyDescent="0.3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</row>
    <row r="691" spans="1:63" ht="23.25" customHeight="1" x14ac:dyDescent="0.3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</row>
    <row r="692" spans="1:63" ht="23.25" customHeight="1" x14ac:dyDescent="0.3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</row>
    <row r="693" spans="1:63" ht="23.25" customHeight="1" x14ac:dyDescent="0.3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</row>
    <row r="694" spans="1:63" ht="23.25" customHeight="1" x14ac:dyDescent="0.3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</row>
    <row r="695" spans="1:63" ht="23.25" customHeight="1" x14ac:dyDescent="0.3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</row>
    <row r="696" spans="1:63" ht="23.25" customHeight="1" x14ac:dyDescent="0.3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</row>
    <row r="697" spans="1:63" ht="23.25" customHeight="1" x14ac:dyDescent="0.3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</row>
    <row r="698" spans="1:63" ht="23.25" customHeight="1" x14ac:dyDescent="0.3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</row>
    <row r="699" spans="1:63" ht="23.25" customHeight="1" x14ac:dyDescent="0.3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</row>
    <row r="700" spans="1:63" ht="23.25" customHeight="1" x14ac:dyDescent="0.3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</row>
    <row r="701" spans="1:63" ht="23.25" customHeight="1" x14ac:dyDescent="0.3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</row>
    <row r="702" spans="1:63" ht="23.25" customHeight="1" x14ac:dyDescent="0.3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</row>
    <row r="703" spans="1:63" ht="23.25" customHeight="1" x14ac:dyDescent="0.3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</row>
    <row r="704" spans="1:63" ht="23.25" customHeight="1" x14ac:dyDescent="0.3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</row>
    <row r="705" spans="1:63" ht="23.25" customHeight="1" x14ac:dyDescent="0.3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</row>
    <row r="706" spans="1:63" ht="23.25" customHeight="1" x14ac:dyDescent="0.3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</row>
    <row r="707" spans="1:63" ht="23.25" customHeight="1" x14ac:dyDescent="0.3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</row>
    <row r="708" spans="1:63" ht="23.25" customHeight="1" x14ac:dyDescent="0.3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</row>
    <row r="709" spans="1:63" ht="23.25" customHeight="1" x14ac:dyDescent="0.3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</row>
    <row r="710" spans="1:63" ht="23.25" customHeight="1" x14ac:dyDescent="0.3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</row>
    <row r="711" spans="1:63" ht="23.25" customHeight="1" x14ac:dyDescent="0.3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</row>
    <row r="712" spans="1:63" ht="23.25" customHeight="1" x14ac:dyDescent="0.3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</row>
    <row r="713" spans="1:63" ht="23.25" customHeight="1" x14ac:dyDescent="0.3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</row>
    <row r="714" spans="1:63" ht="23.25" customHeight="1" x14ac:dyDescent="0.3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</row>
    <row r="715" spans="1:63" ht="23.25" customHeight="1" x14ac:dyDescent="0.3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</row>
    <row r="716" spans="1:63" ht="23.25" customHeight="1" x14ac:dyDescent="0.3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</row>
    <row r="717" spans="1:63" ht="23.25" customHeight="1" x14ac:dyDescent="0.3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</row>
    <row r="718" spans="1:63" ht="23.25" customHeight="1" x14ac:dyDescent="0.3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</row>
    <row r="719" spans="1:63" ht="23.25" customHeight="1" x14ac:dyDescent="0.3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</row>
    <row r="720" spans="1:63" ht="23.25" customHeight="1" x14ac:dyDescent="0.3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</row>
    <row r="721" spans="1:63" ht="23.25" customHeight="1" x14ac:dyDescent="0.3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</row>
    <row r="722" spans="1:63" ht="23.25" customHeight="1" x14ac:dyDescent="0.3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</row>
    <row r="723" spans="1:63" ht="23.25" customHeight="1" x14ac:dyDescent="0.3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</row>
    <row r="724" spans="1:63" ht="23.25" customHeight="1" x14ac:dyDescent="0.3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</row>
    <row r="725" spans="1:63" ht="23.25" customHeight="1" x14ac:dyDescent="0.3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</row>
    <row r="726" spans="1:63" ht="23.25" customHeight="1" x14ac:dyDescent="0.3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</row>
    <row r="727" spans="1:63" ht="23.25" customHeight="1" x14ac:dyDescent="0.3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</row>
    <row r="728" spans="1:63" ht="23.25" customHeight="1" x14ac:dyDescent="0.3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</row>
    <row r="729" spans="1:63" ht="23.25" customHeight="1" x14ac:dyDescent="0.3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</row>
    <row r="730" spans="1:63" ht="23.25" customHeight="1" x14ac:dyDescent="0.3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</row>
    <row r="731" spans="1:63" ht="23.25" customHeight="1" x14ac:dyDescent="0.3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</row>
    <row r="732" spans="1:63" ht="23.25" customHeight="1" x14ac:dyDescent="0.3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</row>
    <row r="733" spans="1:63" ht="23.25" customHeight="1" x14ac:dyDescent="0.3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</row>
    <row r="734" spans="1:63" ht="23.25" customHeight="1" x14ac:dyDescent="0.3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</row>
    <row r="735" spans="1:63" ht="23.25" customHeight="1" x14ac:dyDescent="0.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</row>
    <row r="736" spans="1:63" ht="23.25" customHeight="1" x14ac:dyDescent="0.3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</row>
    <row r="737" spans="1:63" ht="23.25" customHeight="1" x14ac:dyDescent="0.3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</row>
    <row r="738" spans="1:63" ht="23.25" customHeight="1" x14ac:dyDescent="0.3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</row>
    <row r="739" spans="1:63" ht="23.25" customHeight="1" x14ac:dyDescent="0.3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</row>
    <row r="740" spans="1:63" ht="23.25" customHeight="1" x14ac:dyDescent="0.3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</row>
    <row r="741" spans="1:63" ht="23.25" customHeight="1" x14ac:dyDescent="0.3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</row>
    <row r="742" spans="1:63" ht="23.25" customHeight="1" x14ac:dyDescent="0.3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</row>
    <row r="743" spans="1:63" ht="23.25" customHeight="1" x14ac:dyDescent="0.3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</row>
    <row r="744" spans="1:63" ht="23.25" customHeight="1" x14ac:dyDescent="0.3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</row>
    <row r="745" spans="1:63" ht="23.25" customHeight="1" x14ac:dyDescent="0.3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</row>
    <row r="746" spans="1:63" ht="23.25" customHeight="1" x14ac:dyDescent="0.3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</row>
    <row r="747" spans="1:63" ht="23.25" customHeight="1" x14ac:dyDescent="0.3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</row>
    <row r="748" spans="1:63" ht="23.25" customHeight="1" x14ac:dyDescent="0.3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</row>
    <row r="749" spans="1:63" ht="23.25" customHeight="1" x14ac:dyDescent="0.3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</row>
    <row r="750" spans="1:63" ht="23.25" customHeight="1" x14ac:dyDescent="0.3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</row>
    <row r="751" spans="1:63" ht="23.25" customHeight="1" x14ac:dyDescent="0.3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</row>
    <row r="752" spans="1:63" ht="23.25" customHeight="1" x14ac:dyDescent="0.3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</row>
    <row r="753" spans="1:63" ht="23.25" customHeight="1" x14ac:dyDescent="0.3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</row>
    <row r="754" spans="1:63" ht="23.25" customHeight="1" x14ac:dyDescent="0.3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</row>
    <row r="755" spans="1:63" ht="23.25" customHeight="1" x14ac:dyDescent="0.3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</row>
    <row r="756" spans="1:63" ht="23.25" customHeight="1" x14ac:dyDescent="0.3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</row>
    <row r="757" spans="1:63" ht="23.25" customHeight="1" x14ac:dyDescent="0.3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</row>
    <row r="758" spans="1:63" ht="23.25" customHeight="1" x14ac:dyDescent="0.3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</row>
    <row r="759" spans="1:63" ht="23.25" customHeight="1" x14ac:dyDescent="0.3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</row>
    <row r="760" spans="1:63" ht="23.25" customHeight="1" x14ac:dyDescent="0.3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</row>
    <row r="761" spans="1:63" ht="23.25" customHeight="1" x14ac:dyDescent="0.3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</row>
    <row r="762" spans="1:63" ht="23.25" customHeight="1" x14ac:dyDescent="0.3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</row>
    <row r="763" spans="1:63" ht="23.25" customHeight="1" x14ac:dyDescent="0.3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</row>
    <row r="764" spans="1:63" ht="23.25" customHeight="1" x14ac:dyDescent="0.3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</row>
    <row r="765" spans="1:63" ht="23.25" customHeight="1" x14ac:dyDescent="0.3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</row>
    <row r="766" spans="1:63" ht="23.25" customHeight="1" x14ac:dyDescent="0.3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</row>
    <row r="767" spans="1:63" ht="23.25" customHeight="1" x14ac:dyDescent="0.3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</row>
    <row r="768" spans="1:63" ht="23.25" customHeight="1" x14ac:dyDescent="0.3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</row>
    <row r="769" spans="1:63" ht="23.25" customHeight="1" x14ac:dyDescent="0.3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</row>
    <row r="770" spans="1:63" ht="23.25" customHeight="1" x14ac:dyDescent="0.3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</row>
    <row r="771" spans="1:63" ht="23.25" customHeight="1" x14ac:dyDescent="0.3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</row>
    <row r="772" spans="1:63" ht="23.25" customHeight="1" x14ac:dyDescent="0.3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</row>
    <row r="773" spans="1:63" ht="23.25" customHeight="1" x14ac:dyDescent="0.3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</row>
    <row r="774" spans="1:63" ht="23.25" customHeight="1" x14ac:dyDescent="0.3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</row>
    <row r="775" spans="1:63" ht="23.25" customHeight="1" x14ac:dyDescent="0.3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</row>
    <row r="776" spans="1:63" ht="23.25" customHeight="1" x14ac:dyDescent="0.3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</row>
    <row r="777" spans="1:63" ht="23.25" customHeight="1" x14ac:dyDescent="0.3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</row>
    <row r="778" spans="1:63" ht="23.25" customHeight="1" x14ac:dyDescent="0.3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</row>
    <row r="779" spans="1:63" ht="23.25" customHeight="1" x14ac:dyDescent="0.3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</row>
    <row r="780" spans="1:63" ht="23.25" customHeight="1" x14ac:dyDescent="0.3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</row>
    <row r="781" spans="1:63" ht="23.25" customHeight="1" x14ac:dyDescent="0.3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</row>
    <row r="782" spans="1:63" ht="23.25" customHeight="1" x14ac:dyDescent="0.3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</row>
    <row r="783" spans="1:63" ht="23.25" customHeight="1" x14ac:dyDescent="0.3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</row>
    <row r="784" spans="1:63" ht="23.25" customHeight="1" x14ac:dyDescent="0.3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</row>
    <row r="785" spans="1:63" ht="23.25" customHeight="1" x14ac:dyDescent="0.3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</row>
    <row r="786" spans="1:63" ht="23.25" customHeight="1" x14ac:dyDescent="0.3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</row>
    <row r="787" spans="1:63" ht="23.25" customHeight="1" x14ac:dyDescent="0.3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</row>
    <row r="788" spans="1:63" ht="23.25" customHeight="1" x14ac:dyDescent="0.3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</row>
    <row r="789" spans="1:63" ht="23.25" customHeight="1" x14ac:dyDescent="0.3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</row>
    <row r="790" spans="1:63" ht="23.25" customHeight="1" x14ac:dyDescent="0.3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</row>
    <row r="791" spans="1:63" ht="23.25" customHeight="1" x14ac:dyDescent="0.3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</row>
    <row r="792" spans="1:63" ht="23.25" customHeight="1" x14ac:dyDescent="0.3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</row>
    <row r="793" spans="1:63" ht="23.25" customHeight="1" x14ac:dyDescent="0.3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</row>
    <row r="794" spans="1:63" ht="23.25" customHeight="1" x14ac:dyDescent="0.3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</row>
    <row r="795" spans="1:63" ht="23.25" customHeight="1" x14ac:dyDescent="0.3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</row>
    <row r="796" spans="1:63" ht="23.25" customHeight="1" x14ac:dyDescent="0.3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</row>
    <row r="797" spans="1:63" ht="23.25" customHeight="1" x14ac:dyDescent="0.3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</row>
    <row r="798" spans="1:63" ht="23.25" customHeight="1" x14ac:dyDescent="0.3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</row>
    <row r="799" spans="1:63" ht="23.25" customHeight="1" x14ac:dyDescent="0.3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</row>
    <row r="800" spans="1:63" ht="23.25" customHeight="1" x14ac:dyDescent="0.3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</row>
    <row r="801" spans="1:63" ht="23.25" customHeight="1" x14ac:dyDescent="0.3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</row>
    <row r="802" spans="1:63" ht="23.25" customHeight="1" x14ac:dyDescent="0.3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</row>
    <row r="803" spans="1:63" ht="23.25" customHeight="1" x14ac:dyDescent="0.3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</row>
    <row r="804" spans="1:63" ht="23.25" customHeight="1" x14ac:dyDescent="0.3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</row>
    <row r="805" spans="1:63" ht="23.25" customHeight="1" x14ac:dyDescent="0.3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</row>
    <row r="806" spans="1:63" ht="23.25" customHeight="1" x14ac:dyDescent="0.3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</row>
    <row r="807" spans="1:63" ht="23.25" customHeight="1" x14ac:dyDescent="0.3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</row>
    <row r="808" spans="1:63" ht="23.25" customHeight="1" x14ac:dyDescent="0.3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</row>
    <row r="809" spans="1:63" ht="23.25" customHeight="1" x14ac:dyDescent="0.3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</row>
    <row r="810" spans="1:63" ht="23.25" customHeight="1" x14ac:dyDescent="0.3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</row>
    <row r="811" spans="1:63" ht="23.25" customHeight="1" x14ac:dyDescent="0.3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</row>
    <row r="812" spans="1:63" ht="23.25" customHeight="1" x14ac:dyDescent="0.3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</row>
    <row r="813" spans="1:63" ht="23.25" customHeight="1" x14ac:dyDescent="0.3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</row>
    <row r="814" spans="1:63" ht="23.25" customHeight="1" x14ac:dyDescent="0.3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</row>
    <row r="815" spans="1:63" ht="23.25" customHeight="1" x14ac:dyDescent="0.3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</row>
    <row r="816" spans="1:63" ht="23.25" customHeight="1" x14ac:dyDescent="0.3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</row>
    <row r="817" spans="1:63" ht="23.25" customHeight="1" x14ac:dyDescent="0.3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</row>
    <row r="818" spans="1:63" ht="23.25" customHeight="1" x14ac:dyDescent="0.3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</row>
    <row r="819" spans="1:63" ht="23.25" customHeight="1" x14ac:dyDescent="0.3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</row>
    <row r="820" spans="1:63" ht="23.25" customHeight="1" x14ac:dyDescent="0.3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</row>
    <row r="821" spans="1:63" ht="23.25" customHeight="1" x14ac:dyDescent="0.3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</row>
    <row r="822" spans="1:63" ht="23.25" customHeight="1" x14ac:dyDescent="0.3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</row>
    <row r="823" spans="1:63" ht="23.25" customHeight="1" x14ac:dyDescent="0.3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</row>
    <row r="824" spans="1:63" ht="23.25" customHeight="1" x14ac:dyDescent="0.3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</row>
    <row r="825" spans="1:63" ht="23.25" customHeight="1" x14ac:dyDescent="0.3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</row>
    <row r="826" spans="1:63" ht="23.25" customHeight="1" x14ac:dyDescent="0.3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</row>
    <row r="827" spans="1:63" ht="23.25" customHeight="1" x14ac:dyDescent="0.3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</row>
    <row r="828" spans="1:63" ht="23.25" customHeight="1" x14ac:dyDescent="0.3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</row>
    <row r="829" spans="1:63" ht="23.25" customHeight="1" x14ac:dyDescent="0.3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</row>
    <row r="830" spans="1:63" ht="23.25" customHeight="1" x14ac:dyDescent="0.3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</row>
    <row r="831" spans="1:63" ht="23.25" customHeight="1" x14ac:dyDescent="0.3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</row>
    <row r="832" spans="1:63" ht="23.25" customHeight="1" x14ac:dyDescent="0.3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</row>
    <row r="833" spans="1:63" ht="23.25" customHeight="1" x14ac:dyDescent="0.3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</row>
    <row r="834" spans="1:63" ht="23.25" customHeight="1" x14ac:dyDescent="0.3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</row>
    <row r="835" spans="1:63" ht="23.25" customHeight="1" x14ac:dyDescent="0.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</row>
    <row r="836" spans="1:63" ht="23.25" customHeight="1" x14ac:dyDescent="0.3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</row>
    <row r="837" spans="1:63" ht="23.25" customHeight="1" x14ac:dyDescent="0.3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</row>
    <row r="838" spans="1:63" ht="23.25" customHeight="1" x14ac:dyDescent="0.3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</row>
    <row r="839" spans="1:63" ht="23.25" customHeight="1" x14ac:dyDescent="0.3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</row>
    <row r="840" spans="1:63" ht="23.25" customHeight="1" x14ac:dyDescent="0.3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</row>
    <row r="841" spans="1:63" ht="23.25" customHeight="1" x14ac:dyDescent="0.3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</row>
    <row r="842" spans="1:63" ht="23.25" customHeight="1" x14ac:dyDescent="0.3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</row>
    <row r="843" spans="1:63" ht="23.25" customHeight="1" x14ac:dyDescent="0.3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</row>
    <row r="844" spans="1:63" ht="23.25" customHeight="1" x14ac:dyDescent="0.3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</row>
    <row r="845" spans="1:63" ht="23.25" customHeight="1" x14ac:dyDescent="0.3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</row>
    <row r="846" spans="1:63" ht="23.25" customHeight="1" x14ac:dyDescent="0.3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</row>
    <row r="847" spans="1:63" ht="23.25" customHeight="1" x14ac:dyDescent="0.3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</row>
    <row r="848" spans="1:63" ht="23.25" customHeight="1" x14ac:dyDescent="0.3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</row>
    <row r="849" spans="1:63" ht="23.25" customHeight="1" x14ac:dyDescent="0.3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</row>
    <row r="850" spans="1:63" ht="23.25" customHeight="1" x14ac:dyDescent="0.3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</row>
    <row r="851" spans="1:63" ht="23.25" customHeight="1" x14ac:dyDescent="0.3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</row>
    <row r="852" spans="1:63" ht="23.25" customHeight="1" x14ac:dyDescent="0.3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</row>
    <row r="853" spans="1:63" ht="23.25" customHeight="1" x14ac:dyDescent="0.3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</row>
    <row r="854" spans="1:63" ht="23.25" customHeight="1" x14ac:dyDescent="0.3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</row>
    <row r="855" spans="1:63" ht="23.25" customHeight="1" x14ac:dyDescent="0.3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</row>
    <row r="856" spans="1:63" ht="23.25" customHeight="1" x14ac:dyDescent="0.3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</row>
    <row r="857" spans="1:63" ht="23.25" customHeight="1" x14ac:dyDescent="0.3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</row>
    <row r="858" spans="1:63" ht="23.25" customHeight="1" x14ac:dyDescent="0.3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</row>
    <row r="859" spans="1:63" ht="23.25" customHeight="1" x14ac:dyDescent="0.3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</row>
    <row r="860" spans="1:63" ht="23.25" customHeight="1" x14ac:dyDescent="0.3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</row>
    <row r="861" spans="1:63" ht="23.25" customHeight="1" x14ac:dyDescent="0.3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</row>
    <row r="862" spans="1:63" ht="23.25" customHeight="1" x14ac:dyDescent="0.3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</row>
    <row r="863" spans="1:63" ht="23.25" customHeight="1" x14ac:dyDescent="0.3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</row>
    <row r="864" spans="1:63" ht="23.25" customHeight="1" x14ac:dyDescent="0.3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</row>
    <row r="865" spans="1:63" ht="23.25" customHeight="1" x14ac:dyDescent="0.3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</row>
    <row r="866" spans="1:63" ht="23.25" customHeight="1" x14ac:dyDescent="0.3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</row>
    <row r="867" spans="1:63" ht="23.25" customHeight="1" x14ac:dyDescent="0.3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</row>
    <row r="868" spans="1:63" ht="23.25" customHeight="1" x14ac:dyDescent="0.3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</row>
    <row r="869" spans="1:63" ht="23.25" customHeight="1" x14ac:dyDescent="0.3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</row>
    <row r="870" spans="1:63" ht="23.25" customHeight="1" x14ac:dyDescent="0.3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</row>
    <row r="871" spans="1:63" ht="23.25" customHeight="1" x14ac:dyDescent="0.3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</row>
    <row r="872" spans="1:63" ht="23.25" customHeight="1" x14ac:dyDescent="0.3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</row>
    <row r="873" spans="1:63" ht="23.25" customHeight="1" x14ac:dyDescent="0.3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</row>
    <row r="874" spans="1:63" ht="23.25" customHeight="1" x14ac:dyDescent="0.3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</row>
    <row r="875" spans="1:63" ht="23.25" customHeight="1" x14ac:dyDescent="0.3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</row>
    <row r="876" spans="1:63" ht="23.25" customHeight="1" x14ac:dyDescent="0.3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</row>
    <row r="877" spans="1:63" ht="23.25" customHeight="1" x14ac:dyDescent="0.3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</row>
    <row r="878" spans="1:63" ht="23.25" customHeight="1" x14ac:dyDescent="0.3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</row>
    <row r="879" spans="1:63" ht="23.25" customHeight="1" x14ac:dyDescent="0.3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</row>
    <row r="880" spans="1:63" ht="23.25" customHeight="1" x14ac:dyDescent="0.3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</row>
    <row r="881" spans="1:63" ht="23.25" customHeight="1" x14ac:dyDescent="0.3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</row>
    <row r="882" spans="1:63" ht="23.25" customHeight="1" x14ac:dyDescent="0.3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</row>
    <row r="883" spans="1:63" ht="23.25" customHeight="1" x14ac:dyDescent="0.3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</row>
    <row r="884" spans="1:63" ht="23.25" customHeight="1" x14ac:dyDescent="0.3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</row>
    <row r="885" spans="1:63" ht="23.25" customHeight="1" x14ac:dyDescent="0.3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</row>
    <row r="886" spans="1:63" ht="23.25" customHeight="1" x14ac:dyDescent="0.3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</row>
    <row r="887" spans="1:63" ht="23.25" customHeight="1" x14ac:dyDescent="0.3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</row>
    <row r="888" spans="1:63" ht="23.25" customHeight="1" x14ac:dyDescent="0.3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</row>
    <row r="889" spans="1:63" ht="23.25" customHeight="1" x14ac:dyDescent="0.3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</row>
    <row r="890" spans="1:63" ht="23.25" customHeight="1" x14ac:dyDescent="0.3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</row>
    <row r="891" spans="1:63" ht="23.25" customHeight="1" x14ac:dyDescent="0.3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</row>
    <row r="892" spans="1:63" ht="23.25" customHeight="1" x14ac:dyDescent="0.3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</row>
    <row r="893" spans="1:63" ht="23.25" customHeight="1" x14ac:dyDescent="0.3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</row>
    <row r="894" spans="1:63" ht="23.25" customHeight="1" x14ac:dyDescent="0.3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</row>
    <row r="895" spans="1:63" ht="23.25" customHeight="1" x14ac:dyDescent="0.3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</row>
    <row r="896" spans="1:63" ht="23.25" customHeight="1" x14ac:dyDescent="0.3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</row>
    <row r="897" spans="1:63" ht="23.25" customHeight="1" x14ac:dyDescent="0.3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</row>
    <row r="898" spans="1:63" ht="23.25" customHeight="1" x14ac:dyDescent="0.3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</row>
    <row r="899" spans="1:63" ht="23.25" customHeight="1" x14ac:dyDescent="0.3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</row>
    <row r="900" spans="1:63" ht="23.25" customHeight="1" x14ac:dyDescent="0.3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</row>
    <row r="901" spans="1:63" ht="23.25" customHeight="1" x14ac:dyDescent="0.3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</row>
    <row r="902" spans="1:63" ht="23.25" customHeight="1" x14ac:dyDescent="0.3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</row>
    <row r="903" spans="1:63" ht="23.25" customHeight="1" x14ac:dyDescent="0.3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</row>
    <row r="904" spans="1:63" ht="23.25" customHeight="1" x14ac:dyDescent="0.3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</row>
    <row r="905" spans="1:63" ht="23.25" customHeight="1" x14ac:dyDescent="0.3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</row>
    <row r="906" spans="1:63" ht="23.25" customHeight="1" x14ac:dyDescent="0.3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</row>
    <row r="907" spans="1:63" ht="23.25" customHeight="1" x14ac:dyDescent="0.3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</row>
    <row r="908" spans="1:63" ht="23.25" customHeight="1" x14ac:dyDescent="0.3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</row>
    <row r="909" spans="1:63" ht="23.25" customHeight="1" x14ac:dyDescent="0.3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</row>
    <row r="910" spans="1:63" ht="23.25" customHeight="1" x14ac:dyDescent="0.3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</row>
    <row r="911" spans="1:63" ht="23.25" customHeight="1" x14ac:dyDescent="0.3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</row>
    <row r="912" spans="1:63" ht="23.25" customHeight="1" x14ac:dyDescent="0.3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</row>
    <row r="913" spans="1:63" ht="23.25" customHeight="1" x14ac:dyDescent="0.3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</row>
    <row r="914" spans="1:63" ht="23.25" customHeight="1" x14ac:dyDescent="0.3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</row>
    <row r="915" spans="1:63" ht="23.25" customHeight="1" x14ac:dyDescent="0.3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</row>
    <row r="916" spans="1:63" ht="23.25" customHeight="1" x14ac:dyDescent="0.3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</row>
    <row r="917" spans="1:63" ht="23.25" customHeight="1" x14ac:dyDescent="0.3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</row>
    <row r="918" spans="1:63" ht="23.25" customHeight="1" x14ac:dyDescent="0.3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</row>
    <row r="919" spans="1:63" ht="23.25" customHeight="1" x14ac:dyDescent="0.3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</row>
    <row r="920" spans="1:63" ht="23.25" customHeight="1" x14ac:dyDescent="0.3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</row>
    <row r="921" spans="1:63" ht="23.25" customHeight="1" x14ac:dyDescent="0.3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</row>
    <row r="922" spans="1:63" ht="23.25" customHeight="1" x14ac:dyDescent="0.3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</row>
    <row r="923" spans="1:63" ht="23.25" customHeight="1" x14ac:dyDescent="0.3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</row>
    <row r="924" spans="1:63" ht="23.25" customHeight="1" x14ac:dyDescent="0.3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</row>
    <row r="925" spans="1:63" ht="23.25" customHeight="1" x14ac:dyDescent="0.3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</row>
    <row r="926" spans="1:63" ht="23.25" customHeight="1" x14ac:dyDescent="0.3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</row>
    <row r="927" spans="1:63" ht="23.25" customHeight="1" x14ac:dyDescent="0.3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</row>
    <row r="928" spans="1:63" ht="23.25" customHeight="1" x14ac:dyDescent="0.3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</row>
    <row r="929" spans="1:63" ht="23.25" customHeight="1" x14ac:dyDescent="0.3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</row>
    <row r="930" spans="1:63" ht="23.25" customHeight="1" x14ac:dyDescent="0.3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</row>
    <row r="931" spans="1:63" ht="23.25" customHeight="1" x14ac:dyDescent="0.3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</row>
    <row r="932" spans="1:63" ht="23.25" customHeight="1" x14ac:dyDescent="0.3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</row>
    <row r="933" spans="1:63" ht="23.25" customHeight="1" x14ac:dyDescent="0.3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</row>
    <row r="934" spans="1:63" ht="23.25" customHeight="1" x14ac:dyDescent="0.3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</row>
    <row r="935" spans="1:63" ht="23.25" customHeight="1" x14ac:dyDescent="0.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</row>
    <row r="936" spans="1:63" ht="23.25" customHeight="1" x14ac:dyDescent="0.3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</row>
    <row r="937" spans="1:63" ht="23.25" customHeight="1" x14ac:dyDescent="0.3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</row>
    <row r="938" spans="1:63" ht="23.25" customHeight="1" x14ac:dyDescent="0.3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</row>
    <row r="939" spans="1:63" ht="23.25" customHeight="1" x14ac:dyDescent="0.3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</row>
    <row r="940" spans="1:63" ht="23.25" customHeight="1" x14ac:dyDescent="0.3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</row>
    <row r="941" spans="1:63" ht="23.25" customHeight="1" x14ac:dyDescent="0.3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</row>
    <row r="942" spans="1:63" ht="23.25" customHeight="1" x14ac:dyDescent="0.3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</row>
    <row r="943" spans="1:63" ht="23.25" customHeight="1" x14ac:dyDescent="0.3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</row>
    <row r="944" spans="1:63" ht="23.25" customHeight="1" x14ac:dyDescent="0.3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</row>
    <row r="945" spans="1:63" ht="23.25" customHeight="1" x14ac:dyDescent="0.3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</row>
    <row r="946" spans="1:63" ht="23.25" customHeight="1" x14ac:dyDescent="0.3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</row>
    <row r="947" spans="1:63" ht="23.25" customHeight="1" x14ac:dyDescent="0.3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</row>
    <row r="948" spans="1:63" ht="23.25" customHeight="1" x14ac:dyDescent="0.3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</row>
    <row r="949" spans="1:63" ht="23.25" customHeight="1" x14ac:dyDescent="0.3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</row>
    <row r="950" spans="1:63" ht="23.25" customHeight="1" x14ac:dyDescent="0.3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</row>
    <row r="951" spans="1:63" ht="23.25" customHeight="1" x14ac:dyDescent="0.3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</row>
    <row r="952" spans="1:63" ht="23.25" customHeight="1" x14ac:dyDescent="0.3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</row>
    <row r="953" spans="1:63" ht="23.25" customHeight="1" x14ac:dyDescent="0.3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</row>
    <row r="954" spans="1:63" ht="23.25" customHeight="1" x14ac:dyDescent="0.3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</row>
    <row r="955" spans="1:63" ht="23.25" customHeight="1" x14ac:dyDescent="0.3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</row>
    <row r="956" spans="1:63" ht="23.25" customHeight="1" x14ac:dyDescent="0.3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</row>
    <row r="957" spans="1:63" ht="23.25" customHeight="1" x14ac:dyDescent="0.3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</row>
    <row r="958" spans="1:63" ht="23.25" customHeight="1" x14ac:dyDescent="0.3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</row>
    <row r="959" spans="1:63" ht="23.25" customHeight="1" x14ac:dyDescent="0.3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</row>
    <row r="960" spans="1:63" ht="23.25" customHeight="1" x14ac:dyDescent="0.3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</row>
    <row r="961" spans="1:63" ht="23.25" customHeight="1" x14ac:dyDescent="0.3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</row>
    <row r="962" spans="1:63" ht="23.25" customHeight="1" x14ac:dyDescent="0.3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</row>
    <row r="963" spans="1:63" ht="23.25" customHeight="1" x14ac:dyDescent="0.3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</row>
    <row r="964" spans="1:63" ht="23.25" customHeight="1" x14ac:dyDescent="0.3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</row>
    <row r="965" spans="1:63" ht="23.25" customHeight="1" x14ac:dyDescent="0.3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</row>
    <row r="966" spans="1:63" ht="23.25" customHeight="1" x14ac:dyDescent="0.3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</row>
    <row r="967" spans="1:63" ht="23.25" customHeight="1" x14ac:dyDescent="0.3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</row>
    <row r="968" spans="1:63" ht="23.25" customHeight="1" x14ac:dyDescent="0.3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</row>
    <row r="969" spans="1:63" ht="23.25" customHeight="1" x14ac:dyDescent="0.3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</row>
    <row r="970" spans="1:63" ht="23.25" customHeight="1" x14ac:dyDescent="0.3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</row>
    <row r="971" spans="1:63" ht="23.25" customHeight="1" x14ac:dyDescent="0.3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</row>
    <row r="972" spans="1:63" ht="23.25" customHeight="1" x14ac:dyDescent="0.3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</row>
    <row r="973" spans="1:63" ht="23.25" customHeight="1" x14ac:dyDescent="0.3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</row>
    <row r="974" spans="1:63" ht="23.25" customHeight="1" x14ac:dyDescent="0.3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</row>
    <row r="975" spans="1:63" ht="23.25" customHeight="1" x14ac:dyDescent="0.3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</row>
    <row r="976" spans="1:63" ht="23.25" customHeight="1" x14ac:dyDescent="0.3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</row>
    <row r="977" spans="1:63" ht="23.25" customHeight="1" x14ac:dyDescent="0.3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</row>
    <row r="978" spans="1:63" ht="23.25" customHeight="1" x14ac:dyDescent="0.3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</row>
    <row r="979" spans="1:63" ht="23.25" customHeight="1" x14ac:dyDescent="0.3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</row>
    <row r="980" spans="1:63" ht="23.25" customHeight="1" x14ac:dyDescent="0.3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</row>
    <row r="981" spans="1:63" ht="23.25" customHeight="1" x14ac:dyDescent="0.3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</row>
    <row r="982" spans="1:63" ht="23.25" customHeight="1" x14ac:dyDescent="0.3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</row>
    <row r="983" spans="1:63" ht="23.25" customHeight="1" x14ac:dyDescent="0.3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</row>
    <row r="984" spans="1:63" ht="23.25" customHeight="1" x14ac:dyDescent="0.3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</row>
    <row r="985" spans="1:63" ht="23.25" customHeight="1" x14ac:dyDescent="0.3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</row>
    <row r="986" spans="1:63" ht="23.25" customHeight="1" x14ac:dyDescent="0.3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</row>
    <row r="987" spans="1:63" ht="23.25" customHeight="1" x14ac:dyDescent="0.3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</row>
    <row r="988" spans="1:63" ht="23.25" customHeight="1" x14ac:dyDescent="0.3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</row>
    <row r="989" spans="1:63" ht="23.25" customHeight="1" x14ac:dyDescent="0.3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</row>
    <row r="990" spans="1:63" ht="23.25" customHeight="1" x14ac:dyDescent="0.3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</row>
    <row r="991" spans="1:63" ht="23.25" customHeight="1" x14ac:dyDescent="0.3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</row>
    <row r="992" spans="1:63" ht="23.25" customHeight="1" x14ac:dyDescent="0.3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</row>
    <row r="993" spans="1:63" ht="23.25" customHeight="1" x14ac:dyDescent="0.3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</row>
    <row r="994" spans="1:63" ht="23.25" customHeight="1" x14ac:dyDescent="0.3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</row>
    <row r="995" spans="1:63" ht="23.25" customHeight="1" x14ac:dyDescent="0.3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</row>
    <row r="996" spans="1:63" ht="23.25" customHeight="1" x14ac:dyDescent="0.3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</row>
  </sheetData>
  <mergeCells count="45">
    <mergeCell ref="V3:V5"/>
    <mergeCell ref="W3:W5"/>
    <mergeCell ref="X3:X5"/>
    <mergeCell ref="Y3:Y5"/>
    <mergeCell ref="Z3:AA3"/>
    <mergeCell ref="BK2:BK5"/>
    <mergeCell ref="AD3:BG3"/>
    <mergeCell ref="BH3:BH5"/>
    <mergeCell ref="BI3:BI5"/>
    <mergeCell ref="AD4:AI4"/>
    <mergeCell ref="BE4:BG4"/>
    <mergeCell ref="AJ4:AQ4"/>
    <mergeCell ref="AR4:BD4"/>
    <mergeCell ref="AD6:AI6"/>
    <mergeCell ref="AJ6:AQ6"/>
    <mergeCell ref="AR6:BD6"/>
    <mergeCell ref="BE6:BG6"/>
    <mergeCell ref="E1:BJ1"/>
    <mergeCell ref="R2:AC2"/>
    <mergeCell ref="R3:R5"/>
    <mergeCell ref="S3:S5"/>
    <mergeCell ref="T3:T5"/>
    <mergeCell ref="U3:U5"/>
    <mergeCell ref="AD2:BI2"/>
    <mergeCell ref="BJ2:BJ5"/>
    <mergeCell ref="AB3:AB5"/>
    <mergeCell ref="Z4:Z5"/>
    <mergeCell ref="AA4:AA5"/>
    <mergeCell ref="AC3:AC5"/>
    <mergeCell ref="P2:P5"/>
    <mergeCell ref="Q2:Q5"/>
    <mergeCell ref="F3:F5"/>
    <mergeCell ref="G3:G5"/>
    <mergeCell ref="L3:L5"/>
    <mergeCell ref="M3:M5"/>
    <mergeCell ref="N3:N5"/>
    <mergeCell ref="O3:O5"/>
    <mergeCell ref="C29:C32"/>
    <mergeCell ref="H3:H5"/>
    <mergeCell ref="I3:I5"/>
    <mergeCell ref="J3:J5"/>
    <mergeCell ref="K3:K5"/>
    <mergeCell ref="D2:D5"/>
    <mergeCell ref="E2:E4"/>
    <mergeCell ref="F2:O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1000"/>
  <sheetViews>
    <sheetView tabSelected="1" zoomScale="40" zoomScaleNormal="40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V13" sqref="V13"/>
    </sheetView>
  </sheetViews>
  <sheetFormatPr defaultColWidth="12.6328125" defaultRowHeight="15" customHeight="1" x14ac:dyDescent="0.35"/>
  <cols>
    <col min="1" max="1" width="0.36328125" customWidth="1"/>
    <col min="2" max="2" width="0.90625" customWidth="1"/>
    <col min="3" max="3" width="11" customWidth="1"/>
    <col min="4" max="4" width="0.36328125" customWidth="1"/>
    <col min="5" max="5" width="17.453125" customWidth="1"/>
    <col min="6" max="6" width="20.08984375" customWidth="1"/>
    <col min="7" max="7" width="11.7265625" customWidth="1"/>
    <col min="8" max="8" width="11" customWidth="1"/>
    <col min="9" max="16" width="9.36328125" customWidth="1"/>
    <col min="17" max="17" width="15.6328125" customWidth="1"/>
    <col min="18" max="18" width="15.08984375" customWidth="1"/>
    <col min="19" max="20" width="18.6328125" customWidth="1"/>
    <col min="21" max="21" width="18.08984375" customWidth="1"/>
    <col min="22" max="22" width="18.1796875" customWidth="1"/>
    <col min="23" max="24" width="14.54296875" bestFit="1" customWidth="1"/>
    <col min="25" max="25" width="12.36328125" bestFit="1" customWidth="1"/>
    <col min="26" max="26" width="20.54296875" bestFit="1" customWidth="1"/>
    <col min="27" max="27" width="20.6328125" bestFit="1" customWidth="1"/>
    <col min="28" max="29" width="11.08984375" customWidth="1"/>
    <col min="30" max="30" width="13.08984375" customWidth="1"/>
    <col min="31" max="31" width="22.08984375" customWidth="1"/>
    <col min="32" max="32" width="12.453125" bestFit="1" customWidth="1"/>
    <col min="33" max="33" width="17.453125" bestFit="1" customWidth="1"/>
    <col min="34" max="34" width="11.90625" bestFit="1" customWidth="1"/>
    <col min="35" max="35" width="11.7265625" bestFit="1" customWidth="1"/>
    <col min="36" max="37" width="12" customWidth="1"/>
    <col min="38" max="45" width="14" customWidth="1"/>
    <col min="46" max="58" width="12" customWidth="1"/>
    <col min="59" max="59" width="20.26953125" customWidth="1"/>
    <col min="60" max="60" width="11" customWidth="1"/>
    <col min="61" max="62" width="16.36328125" customWidth="1"/>
  </cols>
  <sheetData>
    <row r="1" spans="1:62" ht="1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ht="1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23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.5" customHeight="1" x14ac:dyDescent="0.35">
      <c r="A4" s="1"/>
      <c r="B4" s="1"/>
      <c r="C4" s="1"/>
      <c r="D4" s="1"/>
      <c r="E4" s="1"/>
      <c r="F4" s="85" t="s">
        <v>166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7"/>
      <c r="BJ4" s="3"/>
    </row>
    <row r="5" spans="1:62" ht="23.25" customHeight="1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55.5" customHeight="1" thickBot="1" x14ac:dyDescent="0.4">
      <c r="A6" s="1"/>
      <c r="B6" s="1"/>
      <c r="C6" s="1"/>
      <c r="D6" s="1"/>
      <c r="E6" s="68" t="s">
        <v>1</v>
      </c>
      <c r="F6" s="88" t="s">
        <v>2</v>
      </c>
      <c r="G6" s="89" t="s">
        <v>3</v>
      </c>
      <c r="H6" s="90"/>
      <c r="I6" s="90"/>
      <c r="J6" s="90"/>
      <c r="K6" s="90"/>
      <c r="L6" s="90"/>
      <c r="M6" s="90"/>
      <c r="N6" s="90"/>
      <c r="O6" s="90"/>
      <c r="P6" s="91"/>
      <c r="Q6" s="68" t="s">
        <v>167</v>
      </c>
      <c r="R6" s="68" t="s">
        <v>168</v>
      </c>
      <c r="S6" s="68" t="s">
        <v>169</v>
      </c>
      <c r="T6" s="68" t="s">
        <v>170</v>
      </c>
      <c r="U6" s="68" t="s">
        <v>171</v>
      </c>
      <c r="V6" s="71" t="s">
        <v>6</v>
      </c>
      <c r="W6" s="72"/>
      <c r="X6" s="72"/>
      <c r="Y6" s="72"/>
      <c r="Z6" s="72"/>
      <c r="AA6" s="72"/>
      <c r="AB6" s="72"/>
      <c r="AC6" s="72"/>
      <c r="AD6" s="72"/>
      <c r="AE6" s="73"/>
      <c r="AF6" s="71" t="s">
        <v>172</v>
      </c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3"/>
      <c r="BI6" s="68" t="s">
        <v>173</v>
      </c>
      <c r="BJ6" s="68" t="s">
        <v>174</v>
      </c>
    </row>
    <row r="7" spans="1:62" ht="49.5" customHeight="1" thickBot="1" x14ac:dyDescent="0.4">
      <c r="A7" s="1"/>
      <c r="B7" s="1"/>
      <c r="C7" s="1"/>
      <c r="D7" s="1"/>
      <c r="E7" s="69"/>
      <c r="F7" s="96"/>
      <c r="G7" s="74" t="s">
        <v>10</v>
      </c>
      <c r="H7" s="77" t="s">
        <v>11</v>
      </c>
      <c r="I7" s="77" t="s">
        <v>12</v>
      </c>
      <c r="J7" s="77" t="s">
        <v>13</v>
      </c>
      <c r="K7" s="77" t="s">
        <v>14</v>
      </c>
      <c r="L7" s="77" t="s">
        <v>15</v>
      </c>
      <c r="M7" s="77" t="s">
        <v>16</v>
      </c>
      <c r="N7" s="77" t="s">
        <v>17</v>
      </c>
      <c r="O7" s="77" t="s">
        <v>18</v>
      </c>
      <c r="P7" s="82" t="s">
        <v>19</v>
      </c>
      <c r="Q7" s="69"/>
      <c r="R7" s="69"/>
      <c r="S7" s="69"/>
      <c r="T7" s="69"/>
      <c r="U7" s="69"/>
      <c r="V7" s="68" t="s">
        <v>20</v>
      </c>
      <c r="W7" s="68" t="s">
        <v>21</v>
      </c>
      <c r="X7" s="68" t="s">
        <v>22</v>
      </c>
      <c r="Y7" s="68" t="s">
        <v>23</v>
      </c>
      <c r="Z7" s="68" t="s">
        <v>24</v>
      </c>
      <c r="AA7" s="68" t="s">
        <v>25</v>
      </c>
      <c r="AB7" s="71" t="s">
        <v>27</v>
      </c>
      <c r="AC7" s="73"/>
      <c r="AD7" s="68" t="s">
        <v>175</v>
      </c>
      <c r="AE7" s="68" t="s">
        <v>175</v>
      </c>
      <c r="AF7" s="71" t="s">
        <v>29</v>
      </c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3"/>
      <c r="BH7" s="68" t="s">
        <v>30</v>
      </c>
      <c r="BI7" s="69"/>
      <c r="BJ7" s="69"/>
    </row>
    <row r="8" spans="1:62" ht="69" customHeight="1" thickBot="1" x14ac:dyDescent="0.4">
      <c r="A8" s="1"/>
      <c r="B8" s="1"/>
      <c r="C8" s="1"/>
      <c r="D8" s="53"/>
      <c r="E8" s="69"/>
      <c r="F8" s="96"/>
      <c r="G8" s="75"/>
      <c r="H8" s="78"/>
      <c r="I8" s="78"/>
      <c r="J8" s="78"/>
      <c r="K8" s="78"/>
      <c r="L8" s="78"/>
      <c r="M8" s="78"/>
      <c r="N8" s="78"/>
      <c r="O8" s="78"/>
      <c r="P8" s="83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8" t="s">
        <v>32</v>
      </c>
      <c r="AC8" s="68" t="s">
        <v>33</v>
      </c>
      <c r="AD8" s="69"/>
      <c r="AE8" s="69"/>
      <c r="AF8" s="71" t="s">
        <v>10</v>
      </c>
      <c r="AG8" s="72"/>
      <c r="AH8" s="72"/>
      <c r="AI8" s="72"/>
      <c r="AJ8" s="72"/>
      <c r="AK8" s="73"/>
      <c r="AL8" s="71" t="s">
        <v>11</v>
      </c>
      <c r="AM8" s="72"/>
      <c r="AN8" s="72"/>
      <c r="AO8" s="72"/>
      <c r="AP8" s="72"/>
      <c r="AQ8" s="72"/>
      <c r="AR8" s="72"/>
      <c r="AS8" s="73"/>
      <c r="AT8" s="71" t="s">
        <v>12</v>
      </c>
      <c r="AU8" s="72"/>
      <c r="AV8" s="72"/>
      <c r="AW8" s="72"/>
      <c r="AX8" s="72"/>
      <c r="AY8" s="72"/>
      <c r="AZ8" s="72"/>
      <c r="BA8" s="72"/>
      <c r="BB8" s="72"/>
      <c r="BC8" s="72"/>
      <c r="BD8" s="73"/>
      <c r="BE8" s="71" t="s">
        <v>13</v>
      </c>
      <c r="BF8" s="72"/>
      <c r="BG8" s="73"/>
      <c r="BH8" s="69"/>
      <c r="BI8" s="69"/>
      <c r="BJ8" s="69"/>
    </row>
    <row r="9" spans="1:62" ht="188.5" thickBot="1" x14ac:dyDescent="0.4">
      <c r="A9" s="1"/>
      <c r="B9" s="1"/>
      <c r="C9" s="1"/>
      <c r="D9" s="53"/>
      <c r="E9" s="70"/>
      <c r="F9" s="97"/>
      <c r="G9" s="76"/>
      <c r="H9" s="79"/>
      <c r="I9" s="79"/>
      <c r="J9" s="79"/>
      <c r="K9" s="79"/>
      <c r="L9" s="79"/>
      <c r="M9" s="79"/>
      <c r="N9" s="79"/>
      <c r="O9" s="79"/>
      <c r="P9" s="84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8" t="s">
        <v>34</v>
      </c>
      <c r="AG9" s="9" t="s">
        <v>35</v>
      </c>
      <c r="AH9" s="9" t="s">
        <v>36</v>
      </c>
      <c r="AI9" s="9" t="s">
        <v>37</v>
      </c>
      <c r="AJ9" s="9" t="s">
        <v>38</v>
      </c>
      <c r="AK9" s="10" t="s">
        <v>39</v>
      </c>
      <c r="AL9" s="4" t="s">
        <v>40</v>
      </c>
      <c r="AM9" s="4" t="s">
        <v>41</v>
      </c>
      <c r="AN9" s="4" t="s">
        <v>42</v>
      </c>
      <c r="AO9" s="4" t="s">
        <v>43</v>
      </c>
      <c r="AP9" s="4" t="s">
        <v>44</v>
      </c>
      <c r="AQ9" s="4" t="s">
        <v>45</v>
      </c>
      <c r="AR9" s="4" t="s">
        <v>46</v>
      </c>
      <c r="AS9" s="4" t="s">
        <v>47</v>
      </c>
      <c r="AT9" s="4" t="s">
        <v>48</v>
      </c>
      <c r="AU9" s="4" t="s">
        <v>49</v>
      </c>
      <c r="AV9" s="4" t="s">
        <v>51</v>
      </c>
      <c r="AW9" s="4" t="s">
        <v>52</v>
      </c>
      <c r="AX9" s="4" t="s">
        <v>53</v>
      </c>
      <c r="AY9" s="4" t="s">
        <v>54</v>
      </c>
      <c r="AZ9" s="4" t="s">
        <v>55</v>
      </c>
      <c r="BA9" s="4" t="s">
        <v>56</v>
      </c>
      <c r="BB9" s="4" t="s">
        <v>58</v>
      </c>
      <c r="BC9" s="4" t="s">
        <v>59</v>
      </c>
      <c r="BD9" s="4" t="s">
        <v>60</v>
      </c>
      <c r="BE9" s="4" t="s">
        <v>61</v>
      </c>
      <c r="BF9" s="4" t="s">
        <v>62</v>
      </c>
      <c r="BG9" s="4" t="s">
        <v>63</v>
      </c>
      <c r="BH9" s="70"/>
      <c r="BI9" s="70"/>
      <c r="BJ9" s="70"/>
    </row>
    <row r="10" spans="1:62" ht="75.75" customHeight="1" thickBot="1" x14ac:dyDescent="0.4">
      <c r="A10" s="1"/>
      <c r="B10" s="1"/>
      <c r="C10" s="1"/>
      <c r="D10" s="1"/>
      <c r="E10" s="11" t="s">
        <v>64</v>
      </c>
      <c r="F10" s="12">
        <f>2.5*9*2</f>
        <v>45</v>
      </c>
      <c r="G10" s="13">
        <v>4.5</v>
      </c>
      <c r="H10" s="14">
        <v>9</v>
      </c>
      <c r="I10" s="14">
        <v>4.5</v>
      </c>
      <c r="J10" s="14">
        <v>9</v>
      </c>
      <c r="K10" s="14">
        <v>11.5</v>
      </c>
      <c r="L10" s="14">
        <v>12</v>
      </c>
      <c r="M10" s="14">
        <v>11.5</v>
      </c>
      <c r="N10" s="14">
        <v>4.5</v>
      </c>
      <c r="O10" s="14">
        <v>4.5</v>
      </c>
      <c r="P10" s="15">
        <v>9</v>
      </c>
      <c r="Q10" s="5">
        <v>24</v>
      </c>
      <c r="R10" s="4">
        <v>9</v>
      </c>
      <c r="S10" s="4">
        <f>6*9</f>
        <v>54</v>
      </c>
      <c r="T10" s="4">
        <v>9</v>
      </c>
      <c r="U10" s="4">
        <f>3*9</f>
        <v>27</v>
      </c>
      <c r="V10" s="4">
        <v>8</v>
      </c>
      <c r="W10" s="4">
        <v>4</v>
      </c>
      <c r="X10" s="4">
        <v>4</v>
      </c>
      <c r="Y10" s="4">
        <v>9</v>
      </c>
      <c r="Z10" s="4">
        <v>2.5</v>
      </c>
      <c r="AA10" s="4">
        <v>9.5</v>
      </c>
      <c r="AB10" s="4">
        <v>13</v>
      </c>
      <c r="AC10" s="4">
        <v>17</v>
      </c>
      <c r="AD10" s="4">
        <v>10</v>
      </c>
      <c r="AE10" s="4">
        <v>10</v>
      </c>
      <c r="AF10" s="71">
        <f>5*9</f>
        <v>45</v>
      </c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3"/>
      <c r="BH10" s="4">
        <f>1.5*9</f>
        <v>13.5</v>
      </c>
      <c r="BI10" s="4">
        <v>0.5</v>
      </c>
      <c r="BJ10" s="4">
        <f>3*9</f>
        <v>27</v>
      </c>
    </row>
    <row r="11" spans="1:62" ht="39" customHeight="1" thickBot="1" x14ac:dyDescent="0.4">
      <c r="A11" s="1"/>
      <c r="B11" s="1"/>
      <c r="C11" s="1"/>
      <c r="D11" s="53"/>
      <c r="E11" s="12" t="s">
        <v>176</v>
      </c>
      <c r="F11" s="54">
        <v>1</v>
      </c>
      <c r="G11" s="55">
        <v>1</v>
      </c>
      <c r="H11" s="56">
        <v>1</v>
      </c>
      <c r="I11" s="56">
        <v>1</v>
      </c>
      <c r="J11" s="56">
        <v>1</v>
      </c>
      <c r="K11" s="56">
        <v>1</v>
      </c>
      <c r="L11" s="56">
        <v>1</v>
      </c>
      <c r="M11" s="56">
        <v>1</v>
      </c>
      <c r="N11" s="56">
        <v>1</v>
      </c>
      <c r="O11" s="56">
        <v>1</v>
      </c>
      <c r="P11" s="57">
        <v>1</v>
      </c>
      <c r="Q11" s="31">
        <v>1</v>
      </c>
      <c r="R11" s="33">
        <v>1</v>
      </c>
      <c r="S11" s="33">
        <v>1</v>
      </c>
      <c r="T11" s="33">
        <v>1</v>
      </c>
      <c r="U11" s="33">
        <v>1</v>
      </c>
      <c r="V11" s="58">
        <v>1</v>
      </c>
      <c r="W11" s="59">
        <v>1</v>
      </c>
      <c r="X11" s="59">
        <v>1</v>
      </c>
      <c r="Y11" s="59">
        <v>1</v>
      </c>
      <c r="Z11" s="59">
        <v>1</v>
      </c>
      <c r="AA11" s="59">
        <v>1</v>
      </c>
      <c r="AB11" s="59">
        <v>1</v>
      </c>
      <c r="AC11" s="59">
        <v>1</v>
      </c>
      <c r="AD11" s="59">
        <v>1</v>
      </c>
      <c r="AE11" s="59">
        <v>1</v>
      </c>
      <c r="AF11" s="32">
        <v>1</v>
      </c>
      <c r="AG11" s="28">
        <v>1</v>
      </c>
      <c r="AH11" s="28">
        <v>1</v>
      </c>
      <c r="AI11" s="28">
        <v>1</v>
      </c>
      <c r="AJ11" s="28">
        <v>1</v>
      </c>
      <c r="AK11" s="29">
        <v>1</v>
      </c>
      <c r="AL11" s="32">
        <v>1</v>
      </c>
      <c r="AM11" s="28">
        <v>1</v>
      </c>
      <c r="AN11" s="28">
        <v>1</v>
      </c>
      <c r="AO11" s="28">
        <v>1</v>
      </c>
      <c r="AP11" s="28">
        <v>1</v>
      </c>
      <c r="AQ11" s="28">
        <v>1</v>
      </c>
      <c r="AR11" s="28">
        <v>1</v>
      </c>
      <c r="AS11" s="29">
        <v>1</v>
      </c>
      <c r="AT11" s="32">
        <v>1</v>
      </c>
      <c r="AU11" s="28">
        <v>1</v>
      </c>
      <c r="AV11" s="28">
        <v>1</v>
      </c>
      <c r="AW11" s="28">
        <v>1</v>
      </c>
      <c r="AX11" s="28">
        <v>1</v>
      </c>
      <c r="AY11" s="28">
        <v>1</v>
      </c>
      <c r="AZ11" s="28">
        <v>1</v>
      </c>
      <c r="BA11" s="28">
        <v>1</v>
      </c>
      <c r="BB11" s="28">
        <v>1</v>
      </c>
      <c r="BC11" s="28">
        <v>1</v>
      </c>
      <c r="BD11" s="60">
        <v>1</v>
      </c>
      <c r="BE11" s="58">
        <v>1</v>
      </c>
      <c r="BF11" s="59">
        <v>1</v>
      </c>
      <c r="BG11" s="60">
        <v>1</v>
      </c>
      <c r="BH11" s="33">
        <v>1</v>
      </c>
      <c r="BI11" s="33">
        <v>1</v>
      </c>
      <c r="BJ11" s="33">
        <v>1</v>
      </c>
    </row>
    <row r="12" spans="1:62" ht="39" customHeight="1" thickBot="1" x14ac:dyDescent="0.4">
      <c r="A12" s="1"/>
      <c r="B12" s="1"/>
      <c r="C12" s="1"/>
      <c r="D12" s="53"/>
      <c r="E12" s="12" t="s">
        <v>177</v>
      </c>
      <c r="F12" s="54">
        <v>1</v>
      </c>
      <c r="G12" s="55">
        <v>1</v>
      </c>
      <c r="H12" s="56">
        <v>1</v>
      </c>
      <c r="I12" s="56">
        <v>1</v>
      </c>
      <c r="J12" s="56">
        <v>1</v>
      </c>
      <c r="K12" s="56">
        <v>1</v>
      </c>
      <c r="L12" s="56">
        <v>1</v>
      </c>
      <c r="M12" s="56">
        <v>1</v>
      </c>
      <c r="N12" s="56">
        <v>1</v>
      </c>
      <c r="O12" s="56">
        <v>1</v>
      </c>
      <c r="P12" s="57">
        <v>1</v>
      </c>
      <c r="Q12" s="31">
        <v>1</v>
      </c>
      <c r="R12" s="33">
        <v>1</v>
      </c>
      <c r="S12" s="33">
        <v>1</v>
      </c>
      <c r="T12" s="33">
        <v>1</v>
      </c>
      <c r="U12" s="33">
        <v>1</v>
      </c>
      <c r="V12" s="32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  <c r="AC12" s="28">
        <v>1</v>
      </c>
      <c r="AD12" s="28">
        <v>1</v>
      </c>
      <c r="AE12" s="66">
        <v>0.8</v>
      </c>
      <c r="AF12" s="32">
        <v>1</v>
      </c>
      <c r="AG12" s="28">
        <v>1</v>
      </c>
      <c r="AH12" s="28">
        <v>1</v>
      </c>
      <c r="AI12" s="28">
        <v>1</v>
      </c>
      <c r="AJ12" s="28">
        <v>1</v>
      </c>
      <c r="AK12" s="29">
        <v>1</v>
      </c>
      <c r="AL12" s="32">
        <v>1</v>
      </c>
      <c r="AM12" s="28">
        <v>1</v>
      </c>
      <c r="AN12" s="28">
        <v>1</v>
      </c>
      <c r="AO12" s="28">
        <v>1</v>
      </c>
      <c r="AP12" s="28">
        <v>1</v>
      </c>
      <c r="AQ12" s="28">
        <v>1</v>
      </c>
      <c r="AR12" s="28">
        <v>1</v>
      </c>
      <c r="AS12" s="29">
        <v>1</v>
      </c>
      <c r="AT12" s="32">
        <v>1</v>
      </c>
      <c r="AU12" s="28">
        <v>1</v>
      </c>
      <c r="AV12" s="28">
        <v>1</v>
      </c>
      <c r="AW12" s="28">
        <v>1</v>
      </c>
      <c r="AX12" s="28">
        <v>1</v>
      </c>
      <c r="AY12" s="28">
        <v>1</v>
      </c>
      <c r="AZ12" s="28">
        <v>1</v>
      </c>
      <c r="BA12" s="28">
        <v>1</v>
      </c>
      <c r="BB12" s="28">
        <v>1</v>
      </c>
      <c r="BC12" s="28">
        <v>1</v>
      </c>
      <c r="BD12" s="60">
        <v>1</v>
      </c>
      <c r="BE12" s="58">
        <v>1</v>
      </c>
      <c r="BF12" s="59">
        <v>1</v>
      </c>
      <c r="BG12" s="60">
        <v>1</v>
      </c>
      <c r="BH12" s="33">
        <v>1</v>
      </c>
      <c r="BI12" s="33">
        <v>1</v>
      </c>
      <c r="BJ12" s="33">
        <v>1</v>
      </c>
    </row>
    <row r="13" spans="1:62" ht="39" customHeight="1" x14ac:dyDescent="0.35">
      <c r="A13" s="1"/>
      <c r="B13" s="1"/>
      <c r="C13" s="1"/>
      <c r="D13" s="53"/>
      <c r="E13" s="12" t="s">
        <v>178</v>
      </c>
      <c r="F13" s="54">
        <v>1</v>
      </c>
      <c r="G13" s="55">
        <v>1</v>
      </c>
      <c r="H13" s="56">
        <v>1</v>
      </c>
      <c r="I13" s="56">
        <v>1</v>
      </c>
      <c r="J13" s="56">
        <v>1</v>
      </c>
      <c r="K13" s="56">
        <v>1</v>
      </c>
      <c r="L13" s="56">
        <v>1</v>
      </c>
      <c r="M13" s="56">
        <v>1</v>
      </c>
      <c r="N13" s="56">
        <v>1</v>
      </c>
      <c r="O13" s="56">
        <v>1</v>
      </c>
      <c r="P13" s="57">
        <v>1</v>
      </c>
      <c r="Q13" s="31">
        <v>1</v>
      </c>
      <c r="R13" s="33">
        <v>1</v>
      </c>
      <c r="S13" s="33">
        <v>1</v>
      </c>
      <c r="T13" s="33">
        <v>1</v>
      </c>
      <c r="U13" s="33">
        <v>1</v>
      </c>
      <c r="V13" s="32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  <c r="AC13" s="28">
        <v>1</v>
      </c>
      <c r="AD13" s="28">
        <v>1</v>
      </c>
      <c r="AE13" s="66">
        <v>0.8</v>
      </c>
      <c r="AF13" s="32">
        <v>1</v>
      </c>
      <c r="AG13" s="28">
        <v>1</v>
      </c>
      <c r="AH13" s="28">
        <v>1</v>
      </c>
      <c r="AI13" s="28">
        <v>1</v>
      </c>
      <c r="AJ13" s="28">
        <v>1</v>
      </c>
      <c r="AK13" s="29">
        <v>1</v>
      </c>
      <c r="AL13" s="32">
        <v>1</v>
      </c>
      <c r="AM13" s="28">
        <v>1</v>
      </c>
      <c r="AN13" s="28">
        <v>1</v>
      </c>
      <c r="AO13" s="28">
        <v>1</v>
      </c>
      <c r="AP13" s="28">
        <v>1</v>
      </c>
      <c r="AQ13" s="28">
        <v>1</v>
      </c>
      <c r="AR13" s="28">
        <v>1</v>
      </c>
      <c r="AS13" s="29">
        <v>1</v>
      </c>
      <c r="AT13" s="32">
        <v>1</v>
      </c>
      <c r="AU13" s="28">
        <v>1</v>
      </c>
      <c r="AV13" s="28">
        <v>1</v>
      </c>
      <c r="AW13" s="28">
        <v>1</v>
      </c>
      <c r="AX13" s="28">
        <v>1</v>
      </c>
      <c r="AY13" s="28">
        <v>1</v>
      </c>
      <c r="AZ13" s="28">
        <v>1</v>
      </c>
      <c r="BA13" s="28">
        <v>1</v>
      </c>
      <c r="BB13" s="28">
        <v>1</v>
      </c>
      <c r="BC13" s="28">
        <v>1</v>
      </c>
      <c r="BD13" s="60">
        <v>1</v>
      </c>
      <c r="BE13" s="58">
        <v>1</v>
      </c>
      <c r="BF13" s="59">
        <v>1</v>
      </c>
      <c r="BG13" s="60">
        <v>1</v>
      </c>
      <c r="BH13" s="33">
        <v>1</v>
      </c>
      <c r="BI13" s="33">
        <v>1</v>
      </c>
      <c r="BJ13" s="33">
        <v>1</v>
      </c>
    </row>
    <row r="14" spans="1:62" ht="39" customHeight="1" x14ac:dyDescent="0.35">
      <c r="A14" s="1"/>
      <c r="B14" s="1"/>
      <c r="C14" s="1"/>
      <c r="D14" s="2" t="s">
        <v>179</v>
      </c>
      <c r="E14" s="12" t="s">
        <v>180</v>
      </c>
      <c r="F14" s="54">
        <v>1</v>
      </c>
      <c r="G14" s="55">
        <v>1</v>
      </c>
      <c r="H14" s="56">
        <v>1</v>
      </c>
      <c r="I14" s="56">
        <v>1</v>
      </c>
      <c r="J14" s="56">
        <v>1</v>
      </c>
      <c r="K14" s="56">
        <v>1</v>
      </c>
      <c r="L14" s="56">
        <v>1</v>
      </c>
      <c r="M14" s="56">
        <v>1</v>
      </c>
      <c r="N14" s="56">
        <v>1</v>
      </c>
      <c r="O14" s="56">
        <v>1</v>
      </c>
      <c r="P14" s="57">
        <v>1</v>
      </c>
      <c r="Q14" s="31">
        <v>1</v>
      </c>
      <c r="R14" s="33">
        <v>1</v>
      </c>
      <c r="S14" s="33">
        <v>1</v>
      </c>
      <c r="T14" s="33">
        <v>1</v>
      </c>
      <c r="U14" s="33">
        <v>1</v>
      </c>
      <c r="V14" s="32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  <c r="AC14" s="28">
        <v>1</v>
      </c>
      <c r="AD14" s="28">
        <v>1</v>
      </c>
      <c r="AE14" s="66">
        <v>0.85</v>
      </c>
      <c r="AF14" s="32">
        <v>1</v>
      </c>
      <c r="AG14" s="28">
        <v>1</v>
      </c>
      <c r="AH14" s="28">
        <v>1</v>
      </c>
      <c r="AI14" s="28">
        <v>1</v>
      </c>
      <c r="AJ14" s="28">
        <v>1</v>
      </c>
      <c r="AK14" s="29">
        <v>1</v>
      </c>
      <c r="AL14" s="32">
        <v>1</v>
      </c>
      <c r="AM14" s="28">
        <v>1</v>
      </c>
      <c r="AN14" s="28">
        <v>1</v>
      </c>
      <c r="AO14" s="28">
        <v>1</v>
      </c>
      <c r="AP14" s="28">
        <v>1</v>
      </c>
      <c r="AQ14" s="28">
        <v>1</v>
      </c>
      <c r="AR14" s="28">
        <v>1</v>
      </c>
      <c r="AS14" s="29">
        <v>1</v>
      </c>
      <c r="AT14" s="28">
        <v>1</v>
      </c>
      <c r="AU14" s="28">
        <v>1</v>
      </c>
      <c r="AV14" s="28">
        <v>1</v>
      </c>
      <c r="AW14" s="28">
        <v>1</v>
      </c>
      <c r="AX14" s="28">
        <v>1</v>
      </c>
      <c r="AY14" s="28">
        <v>1</v>
      </c>
      <c r="AZ14" s="28">
        <v>1</v>
      </c>
      <c r="BA14" s="28">
        <v>1</v>
      </c>
      <c r="BB14" s="28">
        <v>0</v>
      </c>
      <c r="BC14" s="28">
        <v>0</v>
      </c>
      <c r="BD14" s="29">
        <v>0</v>
      </c>
      <c r="BE14" s="32">
        <v>0</v>
      </c>
      <c r="BF14" s="28">
        <v>0</v>
      </c>
      <c r="BG14" s="29">
        <v>0</v>
      </c>
      <c r="BH14" s="33">
        <v>0</v>
      </c>
      <c r="BI14" s="33">
        <v>1</v>
      </c>
      <c r="BJ14" s="33">
        <v>0</v>
      </c>
    </row>
    <row r="15" spans="1:62" ht="39" customHeight="1" x14ac:dyDescent="0.35">
      <c r="A15" s="1"/>
      <c r="B15" s="1"/>
      <c r="C15" s="1"/>
      <c r="D15" s="53"/>
      <c r="E15" s="12" t="s">
        <v>181</v>
      </c>
      <c r="F15" s="54">
        <v>1</v>
      </c>
      <c r="G15" s="55">
        <v>1</v>
      </c>
      <c r="H15" s="56">
        <v>1</v>
      </c>
      <c r="I15" s="56">
        <v>1</v>
      </c>
      <c r="J15" s="56">
        <v>1</v>
      </c>
      <c r="K15" s="56">
        <v>1</v>
      </c>
      <c r="L15" s="56">
        <v>1</v>
      </c>
      <c r="M15" s="56">
        <v>1</v>
      </c>
      <c r="N15" s="56">
        <v>1</v>
      </c>
      <c r="O15" s="56">
        <v>1</v>
      </c>
      <c r="P15" s="57">
        <v>1</v>
      </c>
      <c r="Q15" s="31">
        <v>1</v>
      </c>
      <c r="R15" s="33">
        <v>1</v>
      </c>
      <c r="S15" s="33">
        <v>1</v>
      </c>
      <c r="T15" s="33">
        <v>1</v>
      </c>
      <c r="U15" s="33">
        <v>1</v>
      </c>
      <c r="V15" s="32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  <c r="AC15" s="28">
        <v>1</v>
      </c>
      <c r="AD15" s="28">
        <v>1</v>
      </c>
      <c r="AE15" s="67">
        <v>0.9</v>
      </c>
      <c r="AF15" s="32">
        <v>0</v>
      </c>
      <c r="AG15" s="28">
        <v>0</v>
      </c>
      <c r="AH15" s="28">
        <v>0</v>
      </c>
      <c r="AI15" s="28">
        <v>0</v>
      </c>
      <c r="AJ15" s="28">
        <v>0</v>
      </c>
      <c r="AK15" s="29">
        <v>0</v>
      </c>
      <c r="AL15" s="32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9">
        <v>0</v>
      </c>
      <c r="AT15" s="32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9">
        <v>0</v>
      </c>
      <c r="BE15" s="32">
        <v>0</v>
      </c>
      <c r="BF15" s="28">
        <v>0</v>
      </c>
      <c r="BG15" s="29">
        <v>0</v>
      </c>
      <c r="BH15" s="33">
        <v>0</v>
      </c>
      <c r="BI15" s="33">
        <v>0</v>
      </c>
      <c r="BJ15" s="33">
        <v>0</v>
      </c>
    </row>
    <row r="16" spans="1:62" ht="39" customHeight="1" x14ac:dyDescent="0.35">
      <c r="A16" s="1"/>
      <c r="B16" s="1"/>
      <c r="C16" s="1"/>
      <c r="D16" s="53"/>
      <c r="E16" s="12" t="s">
        <v>182</v>
      </c>
      <c r="F16" s="54">
        <v>1</v>
      </c>
      <c r="G16" s="55">
        <v>1</v>
      </c>
      <c r="H16" s="56">
        <v>1</v>
      </c>
      <c r="I16" s="56">
        <v>1</v>
      </c>
      <c r="J16" s="56">
        <v>1</v>
      </c>
      <c r="K16" s="56">
        <v>1</v>
      </c>
      <c r="L16" s="56">
        <v>1</v>
      </c>
      <c r="M16" s="56">
        <v>1</v>
      </c>
      <c r="N16" s="56">
        <v>1</v>
      </c>
      <c r="O16" s="56">
        <v>1</v>
      </c>
      <c r="P16" s="57">
        <v>1</v>
      </c>
      <c r="Q16" s="31">
        <v>1</v>
      </c>
      <c r="R16" s="33">
        <v>1</v>
      </c>
      <c r="S16" s="33">
        <v>1</v>
      </c>
      <c r="T16" s="33">
        <v>1</v>
      </c>
      <c r="U16" s="33">
        <v>1</v>
      </c>
      <c r="V16" s="32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  <c r="AC16" s="28">
        <v>0</v>
      </c>
      <c r="AD16" s="28">
        <v>0</v>
      </c>
      <c r="AE16" s="29">
        <v>0</v>
      </c>
      <c r="AF16" s="32">
        <v>0</v>
      </c>
      <c r="AG16" s="28">
        <v>1</v>
      </c>
      <c r="AH16" s="28">
        <v>1</v>
      </c>
      <c r="AI16" s="28">
        <v>1</v>
      </c>
      <c r="AJ16" s="28">
        <v>0</v>
      </c>
      <c r="AK16" s="29">
        <v>0</v>
      </c>
      <c r="AL16" s="32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9">
        <v>0</v>
      </c>
      <c r="AT16" s="32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9">
        <v>0</v>
      </c>
      <c r="BE16" s="32">
        <v>0</v>
      </c>
      <c r="BF16" s="28">
        <v>0</v>
      </c>
      <c r="BG16" s="29">
        <v>0</v>
      </c>
      <c r="BH16" s="33">
        <v>0</v>
      </c>
      <c r="BI16" s="33">
        <v>0</v>
      </c>
      <c r="BJ16" s="33">
        <v>0</v>
      </c>
    </row>
    <row r="17" spans="1:62" ht="39" customHeight="1" x14ac:dyDescent="0.35">
      <c r="A17" s="1"/>
      <c r="B17" s="1"/>
      <c r="C17" s="1"/>
      <c r="D17" s="53"/>
      <c r="E17" s="12" t="s">
        <v>183</v>
      </c>
      <c r="F17" s="54">
        <v>1</v>
      </c>
      <c r="G17" s="55">
        <v>1</v>
      </c>
      <c r="H17" s="56">
        <v>1</v>
      </c>
      <c r="I17" s="56">
        <v>1</v>
      </c>
      <c r="J17" s="56">
        <v>1</v>
      </c>
      <c r="K17" s="56">
        <v>1</v>
      </c>
      <c r="L17" s="56">
        <v>1</v>
      </c>
      <c r="M17" s="56">
        <v>1</v>
      </c>
      <c r="N17" s="56">
        <v>1</v>
      </c>
      <c r="O17" s="56">
        <v>1</v>
      </c>
      <c r="P17" s="57">
        <v>1</v>
      </c>
      <c r="Q17" s="31">
        <v>1</v>
      </c>
      <c r="R17" s="33">
        <v>1</v>
      </c>
      <c r="S17" s="33">
        <v>1</v>
      </c>
      <c r="T17" s="33">
        <v>1</v>
      </c>
      <c r="U17" s="33">
        <v>1</v>
      </c>
      <c r="V17" s="32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  <c r="AC17" s="28">
        <v>0</v>
      </c>
      <c r="AD17" s="28">
        <v>0</v>
      </c>
      <c r="AE17" s="29">
        <v>0</v>
      </c>
      <c r="AF17" s="32">
        <v>0</v>
      </c>
      <c r="AG17" s="28">
        <v>0</v>
      </c>
      <c r="AH17" s="28">
        <v>0</v>
      </c>
      <c r="AI17" s="28">
        <v>0</v>
      </c>
      <c r="AJ17" s="28">
        <v>0</v>
      </c>
      <c r="AK17" s="29">
        <v>0</v>
      </c>
      <c r="AL17" s="32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9">
        <v>0</v>
      </c>
      <c r="AT17" s="32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9">
        <v>0</v>
      </c>
      <c r="BE17" s="32">
        <v>0</v>
      </c>
      <c r="BF17" s="28">
        <v>0</v>
      </c>
      <c r="BG17" s="29">
        <v>0</v>
      </c>
      <c r="BH17" s="33">
        <v>0</v>
      </c>
      <c r="BI17" s="33">
        <v>0</v>
      </c>
      <c r="BJ17" s="33">
        <v>0</v>
      </c>
    </row>
    <row r="18" spans="1:62" ht="39" customHeight="1" x14ac:dyDescent="0.35">
      <c r="A18" s="1"/>
      <c r="B18" s="1"/>
      <c r="C18" s="1"/>
      <c r="D18" s="53"/>
      <c r="E18" s="12" t="s">
        <v>184</v>
      </c>
      <c r="F18" s="54">
        <v>1</v>
      </c>
      <c r="G18" s="55">
        <v>1</v>
      </c>
      <c r="H18" s="56">
        <v>1</v>
      </c>
      <c r="I18" s="56">
        <v>1</v>
      </c>
      <c r="J18" s="56">
        <v>1</v>
      </c>
      <c r="K18" s="56">
        <v>1</v>
      </c>
      <c r="L18" s="56">
        <v>1</v>
      </c>
      <c r="M18" s="56">
        <v>1</v>
      </c>
      <c r="N18" s="56">
        <v>1</v>
      </c>
      <c r="O18" s="56">
        <v>1</v>
      </c>
      <c r="P18" s="57">
        <v>1</v>
      </c>
      <c r="Q18" s="31">
        <v>1</v>
      </c>
      <c r="R18" s="33">
        <v>1</v>
      </c>
      <c r="S18" s="33">
        <v>1</v>
      </c>
      <c r="T18" s="33">
        <v>1</v>
      </c>
      <c r="U18" s="33">
        <v>1</v>
      </c>
      <c r="V18" s="32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  <c r="AC18" s="28">
        <v>0</v>
      </c>
      <c r="AD18" s="28">
        <v>0</v>
      </c>
      <c r="AE18" s="29">
        <v>0</v>
      </c>
      <c r="AF18" s="32">
        <v>1</v>
      </c>
      <c r="AG18" s="28">
        <v>1</v>
      </c>
      <c r="AH18" s="28">
        <v>1</v>
      </c>
      <c r="AI18" s="28">
        <v>1</v>
      </c>
      <c r="AJ18" s="28">
        <v>1</v>
      </c>
      <c r="AK18" s="29">
        <v>1</v>
      </c>
      <c r="AL18" s="32">
        <v>1</v>
      </c>
      <c r="AM18" s="28">
        <v>1</v>
      </c>
      <c r="AN18" s="28">
        <v>1</v>
      </c>
      <c r="AO18" s="28">
        <v>1</v>
      </c>
      <c r="AP18" s="28">
        <v>1</v>
      </c>
      <c r="AQ18" s="28">
        <v>1</v>
      </c>
      <c r="AR18" s="28">
        <v>0</v>
      </c>
      <c r="AS18" s="29">
        <v>0</v>
      </c>
      <c r="AT18" s="32">
        <v>0</v>
      </c>
      <c r="AU18" s="28">
        <v>0</v>
      </c>
      <c r="AV18" s="28">
        <v>1</v>
      </c>
      <c r="AW18" s="28">
        <v>1</v>
      </c>
      <c r="AX18" s="28">
        <v>1</v>
      </c>
      <c r="AY18" s="30">
        <v>100</v>
      </c>
      <c r="AZ18" s="28">
        <v>0</v>
      </c>
      <c r="BA18" s="28">
        <v>0</v>
      </c>
      <c r="BB18" s="28">
        <v>0</v>
      </c>
      <c r="BC18" s="28">
        <v>0</v>
      </c>
      <c r="BD18" s="29">
        <v>1</v>
      </c>
      <c r="BE18" s="32">
        <v>0</v>
      </c>
      <c r="BF18" s="28">
        <v>0</v>
      </c>
      <c r="BG18" s="29">
        <v>0</v>
      </c>
      <c r="BH18" s="33">
        <v>0</v>
      </c>
      <c r="BI18" s="33">
        <v>0</v>
      </c>
      <c r="BJ18" s="33">
        <v>0</v>
      </c>
    </row>
    <row r="19" spans="1:62" ht="39" customHeight="1" x14ac:dyDescent="0.35">
      <c r="A19" s="1"/>
      <c r="B19" s="1"/>
      <c r="C19" s="1"/>
      <c r="D19" s="2" t="s">
        <v>185</v>
      </c>
      <c r="E19" s="12" t="s">
        <v>186</v>
      </c>
      <c r="F19" s="54">
        <v>1</v>
      </c>
      <c r="G19" s="55">
        <v>1</v>
      </c>
      <c r="H19" s="56">
        <v>1</v>
      </c>
      <c r="I19" s="56">
        <v>1</v>
      </c>
      <c r="J19" s="56">
        <v>1</v>
      </c>
      <c r="K19" s="56">
        <v>1</v>
      </c>
      <c r="L19" s="56">
        <v>1</v>
      </c>
      <c r="M19" s="56">
        <v>1</v>
      </c>
      <c r="N19" s="56">
        <v>1</v>
      </c>
      <c r="O19" s="56">
        <v>1</v>
      </c>
      <c r="P19" s="57">
        <v>1</v>
      </c>
      <c r="Q19" s="31">
        <v>1</v>
      </c>
      <c r="R19" s="33">
        <v>1</v>
      </c>
      <c r="S19" s="33">
        <v>1</v>
      </c>
      <c r="T19" s="33">
        <v>1</v>
      </c>
      <c r="U19" s="33">
        <v>1</v>
      </c>
      <c r="V19" s="32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  <c r="AC19" s="28">
        <v>0</v>
      </c>
      <c r="AD19" s="28">
        <v>0</v>
      </c>
      <c r="AE19" s="29">
        <v>0</v>
      </c>
      <c r="AF19" s="32">
        <v>1</v>
      </c>
      <c r="AG19" s="28">
        <v>1</v>
      </c>
      <c r="AH19" s="28">
        <v>1</v>
      </c>
      <c r="AI19" s="28">
        <v>1</v>
      </c>
      <c r="AJ19" s="28">
        <v>1</v>
      </c>
      <c r="AK19" s="29">
        <v>1</v>
      </c>
      <c r="AL19" s="32">
        <v>1</v>
      </c>
      <c r="AM19" s="28">
        <v>1</v>
      </c>
      <c r="AN19" s="28">
        <v>1</v>
      </c>
      <c r="AO19" s="28">
        <v>1</v>
      </c>
      <c r="AP19" s="28">
        <v>1</v>
      </c>
      <c r="AQ19" s="28">
        <v>1</v>
      </c>
      <c r="AR19" s="28">
        <v>1</v>
      </c>
      <c r="AS19" s="29">
        <v>1</v>
      </c>
      <c r="AT19" s="32">
        <v>1</v>
      </c>
      <c r="AU19" s="28">
        <v>1</v>
      </c>
      <c r="AV19" s="28">
        <v>1</v>
      </c>
      <c r="AW19" s="28">
        <v>1</v>
      </c>
      <c r="AX19" s="28">
        <v>1</v>
      </c>
      <c r="AY19" s="28">
        <v>1</v>
      </c>
      <c r="AZ19" s="28">
        <v>1</v>
      </c>
      <c r="BA19" s="28">
        <v>1</v>
      </c>
      <c r="BB19" s="28">
        <v>0</v>
      </c>
      <c r="BC19" s="28">
        <v>0</v>
      </c>
      <c r="BD19" s="29">
        <v>0</v>
      </c>
      <c r="BE19" s="32">
        <v>0</v>
      </c>
      <c r="BF19" s="28">
        <v>0</v>
      </c>
      <c r="BG19" s="29">
        <v>0</v>
      </c>
      <c r="BH19" s="33">
        <v>0</v>
      </c>
      <c r="BI19" s="33">
        <v>0</v>
      </c>
      <c r="BJ19" s="33">
        <v>0</v>
      </c>
    </row>
    <row r="20" spans="1:62" ht="39" customHeight="1" x14ac:dyDescent="0.35">
      <c r="A20" s="1"/>
      <c r="B20" s="1"/>
      <c r="C20" s="1"/>
      <c r="D20" s="53"/>
      <c r="E20" s="12" t="s">
        <v>187</v>
      </c>
      <c r="F20" s="54">
        <v>1</v>
      </c>
      <c r="G20" s="55">
        <v>1</v>
      </c>
      <c r="H20" s="56">
        <v>1</v>
      </c>
      <c r="I20" s="56">
        <v>1</v>
      </c>
      <c r="J20" s="56">
        <v>1</v>
      </c>
      <c r="K20" s="56">
        <v>1</v>
      </c>
      <c r="L20" s="56">
        <v>1</v>
      </c>
      <c r="M20" s="56">
        <v>1</v>
      </c>
      <c r="N20" s="56">
        <v>1</v>
      </c>
      <c r="O20" s="56">
        <v>1</v>
      </c>
      <c r="P20" s="57">
        <v>1</v>
      </c>
      <c r="Q20" s="31">
        <v>1</v>
      </c>
      <c r="R20" s="33">
        <v>1</v>
      </c>
      <c r="S20" s="33">
        <v>1</v>
      </c>
      <c r="T20" s="33">
        <v>1</v>
      </c>
      <c r="U20" s="33">
        <v>1</v>
      </c>
      <c r="V20" s="32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  <c r="AC20" s="28">
        <v>0</v>
      </c>
      <c r="AD20" s="28">
        <v>0</v>
      </c>
      <c r="AE20" s="29">
        <v>0</v>
      </c>
      <c r="AF20" s="32">
        <v>1</v>
      </c>
      <c r="AG20" s="28">
        <v>1</v>
      </c>
      <c r="AH20" s="28">
        <v>1</v>
      </c>
      <c r="AI20" s="28">
        <v>1</v>
      </c>
      <c r="AJ20" s="28">
        <v>0</v>
      </c>
      <c r="AK20" s="29">
        <v>1</v>
      </c>
      <c r="AL20" s="32">
        <v>1</v>
      </c>
      <c r="AM20" s="28">
        <v>1</v>
      </c>
      <c r="AN20" s="28">
        <v>0</v>
      </c>
      <c r="AO20" s="28">
        <v>1</v>
      </c>
      <c r="AP20" s="28">
        <v>0</v>
      </c>
      <c r="AQ20" s="28">
        <v>1</v>
      </c>
      <c r="AR20" s="28">
        <v>0</v>
      </c>
      <c r="AS20" s="29">
        <v>0</v>
      </c>
      <c r="AT20" s="32">
        <v>0</v>
      </c>
      <c r="AU20" s="28">
        <v>0</v>
      </c>
      <c r="AV20" s="28">
        <v>0</v>
      </c>
      <c r="AW20" s="28">
        <v>1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9">
        <v>0</v>
      </c>
      <c r="BE20" s="32">
        <v>0</v>
      </c>
      <c r="BF20" s="28">
        <v>0</v>
      </c>
      <c r="BG20" s="29">
        <v>0</v>
      </c>
      <c r="BH20" s="33">
        <v>0</v>
      </c>
      <c r="BI20" s="33">
        <v>0</v>
      </c>
      <c r="BJ20" s="33">
        <v>0</v>
      </c>
    </row>
    <row r="21" spans="1:62" ht="39" customHeight="1" x14ac:dyDescent="0.35">
      <c r="A21" s="1"/>
      <c r="B21" s="1"/>
      <c r="C21" s="1"/>
      <c r="D21" s="53"/>
      <c r="E21" s="12" t="s">
        <v>188</v>
      </c>
      <c r="F21" s="54">
        <v>1</v>
      </c>
      <c r="G21" s="55">
        <v>1</v>
      </c>
      <c r="H21" s="56">
        <v>1</v>
      </c>
      <c r="I21" s="56">
        <v>1</v>
      </c>
      <c r="J21" s="56">
        <v>1</v>
      </c>
      <c r="K21" s="56">
        <v>1</v>
      </c>
      <c r="L21" s="56">
        <v>1</v>
      </c>
      <c r="M21" s="56">
        <v>1</v>
      </c>
      <c r="N21" s="56">
        <v>1</v>
      </c>
      <c r="O21" s="56">
        <v>1</v>
      </c>
      <c r="P21" s="57">
        <v>1</v>
      </c>
      <c r="Q21" s="31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9">
        <v>0</v>
      </c>
      <c r="AF21" s="32">
        <v>0</v>
      </c>
      <c r="AG21" s="28">
        <v>0</v>
      </c>
      <c r="AH21" s="28">
        <v>0</v>
      </c>
      <c r="AI21" s="28">
        <v>0</v>
      </c>
      <c r="AJ21" s="28">
        <v>0</v>
      </c>
      <c r="AK21" s="29">
        <v>0</v>
      </c>
      <c r="AL21" s="32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9">
        <v>0</v>
      </c>
      <c r="AT21" s="32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9">
        <v>0</v>
      </c>
      <c r="BE21" s="32">
        <v>0</v>
      </c>
      <c r="BF21" s="28">
        <v>0</v>
      </c>
      <c r="BG21" s="29">
        <v>0</v>
      </c>
      <c r="BH21" s="33">
        <v>0</v>
      </c>
      <c r="BI21" s="33">
        <v>0</v>
      </c>
      <c r="BJ21" s="33">
        <v>0</v>
      </c>
    </row>
    <row r="22" spans="1:62" ht="39" customHeight="1" x14ac:dyDescent="0.35">
      <c r="A22" s="1"/>
      <c r="B22" s="1"/>
      <c r="C22" s="1"/>
      <c r="D22" s="53"/>
      <c r="E22" s="61" t="s">
        <v>189</v>
      </c>
      <c r="F22" s="54">
        <v>1</v>
      </c>
      <c r="G22" s="55">
        <v>1</v>
      </c>
      <c r="H22" s="56">
        <v>1</v>
      </c>
      <c r="I22" s="56">
        <v>1</v>
      </c>
      <c r="J22" s="56">
        <v>1</v>
      </c>
      <c r="K22" s="56">
        <v>1</v>
      </c>
      <c r="L22" s="56">
        <v>1</v>
      </c>
      <c r="M22" s="56">
        <v>1</v>
      </c>
      <c r="N22" s="56">
        <v>1</v>
      </c>
      <c r="O22" s="56">
        <v>1</v>
      </c>
      <c r="P22" s="57">
        <v>1</v>
      </c>
      <c r="Q22" s="31">
        <v>1</v>
      </c>
      <c r="R22" s="33">
        <v>1</v>
      </c>
      <c r="S22" s="33">
        <v>1</v>
      </c>
      <c r="T22" s="33">
        <v>1</v>
      </c>
      <c r="U22" s="33">
        <v>1</v>
      </c>
      <c r="V22" s="32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34">
        <v>0.5</v>
      </c>
      <c r="AC22" s="28">
        <v>0</v>
      </c>
      <c r="AD22" s="28">
        <v>0</v>
      </c>
      <c r="AE22" s="29">
        <v>0</v>
      </c>
      <c r="AF22" s="32">
        <v>0</v>
      </c>
      <c r="AG22" s="28">
        <v>0</v>
      </c>
      <c r="AH22" s="28">
        <v>0</v>
      </c>
      <c r="AI22" s="28">
        <v>0</v>
      </c>
      <c r="AJ22" s="28">
        <v>0</v>
      </c>
      <c r="AK22" s="29">
        <v>0</v>
      </c>
      <c r="AL22" s="32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9">
        <v>0</v>
      </c>
      <c r="AT22" s="32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9">
        <v>0</v>
      </c>
      <c r="BE22" s="32">
        <v>0</v>
      </c>
      <c r="BF22" s="28">
        <v>0</v>
      </c>
      <c r="BG22" s="29">
        <v>0</v>
      </c>
      <c r="BH22" s="33">
        <v>0</v>
      </c>
      <c r="BI22" s="33">
        <v>0</v>
      </c>
      <c r="BJ22" s="33">
        <v>0</v>
      </c>
    </row>
    <row r="23" spans="1:62" ht="39" customHeight="1" x14ac:dyDescent="0.35">
      <c r="A23" s="1"/>
      <c r="B23" s="1"/>
      <c r="C23" s="1"/>
      <c r="D23" s="53"/>
      <c r="E23" s="12" t="s">
        <v>190</v>
      </c>
      <c r="F23" s="54">
        <v>1</v>
      </c>
      <c r="G23" s="55">
        <v>1</v>
      </c>
      <c r="H23" s="56">
        <v>1</v>
      </c>
      <c r="I23" s="56">
        <v>1</v>
      </c>
      <c r="J23" s="56">
        <v>1</v>
      </c>
      <c r="K23" s="56">
        <v>1</v>
      </c>
      <c r="L23" s="56">
        <v>1</v>
      </c>
      <c r="M23" s="56">
        <v>1</v>
      </c>
      <c r="N23" s="56">
        <v>1</v>
      </c>
      <c r="O23" s="56">
        <v>1</v>
      </c>
      <c r="P23" s="57">
        <v>1</v>
      </c>
      <c r="Q23" s="31">
        <v>1</v>
      </c>
      <c r="R23" s="33">
        <v>1</v>
      </c>
      <c r="S23" s="33">
        <v>1</v>
      </c>
      <c r="T23" s="33">
        <v>1</v>
      </c>
      <c r="U23" s="33">
        <v>1</v>
      </c>
      <c r="V23" s="32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  <c r="AC23" s="28">
        <v>0</v>
      </c>
      <c r="AD23" s="28">
        <v>0</v>
      </c>
      <c r="AE23" s="29">
        <v>0</v>
      </c>
      <c r="AF23" s="32">
        <v>1</v>
      </c>
      <c r="AG23" s="28">
        <v>1</v>
      </c>
      <c r="AH23" s="28">
        <v>1</v>
      </c>
      <c r="AI23" s="28">
        <v>1</v>
      </c>
      <c r="AJ23" s="28">
        <v>0</v>
      </c>
      <c r="AK23" s="29">
        <v>1</v>
      </c>
      <c r="AL23" s="32">
        <v>1</v>
      </c>
      <c r="AM23" s="28">
        <v>1</v>
      </c>
      <c r="AN23" s="28">
        <v>0</v>
      </c>
      <c r="AO23" s="28">
        <v>1</v>
      </c>
      <c r="AP23" s="28">
        <v>1</v>
      </c>
      <c r="AQ23" s="28">
        <v>1</v>
      </c>
      <c r="AR23" s="28">
        <v>0</v>
      </c>
      <c r="AS23" s="29">
        <v>1</v>
      </c>
      <c r="AT23" s="32">
        <v>0</v>
      </c>
      <c r="AU23" s="28">
        <v>0</v>
      </c>
      <c r="AV23" s="28">
        <v>0</v>
      </c>
      <c r="AW23" s="28">
        <v>1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9">
        <v>0</v>
      </c>
      <c r="BE23" s="32">
        <v>0</v>
      </c>
      <c r="BF23" s="28">
        <v>0</v>
      </c>
      <c r="BG23" s="29">
        <v>0</v>
      </c>
      <c r="BH23" s="33">
        <v>0</v>
      </c>
      <c r="BI23" s="33">
        <v>0</v>
      </c>
      <c r="BJ23" s="33">
        <v>0</v>
      </c>
    </row>
    <row r="24" spans="1:62" ht="39" customHeight="1" x14ac:dyDescent="0.35">
      <c r="A24" s="1"/>
      <c r="B24" s="1"/>
      <c r="C24" s="1"/>
      <c r="D24" s="53"/>
      <c r="E24" s="12" t="s">
        <v>191</v>
      </c>
      <c r="F24" s="54">
        <v>1</v>
      </c>
      <c r="G24" s="55">
        <v>1</v>
      </c>
      <c r="H24" s="56">
        <v>1</v>
      </c>
      <c r="I24" s="56">
        <v>1</v>
      </c>
      <c r="J24" s="56">
        <v>1</v>
      </c>
      <c r="K24" s="56">
        <v>1</v>
      </c>
      <c r="L24" s="56">
        <v>1</v>
      </c>
      <c r="M24" s="56">
        <v>1</v>
      </c>
      <c r="N24" s="56">
        <v>1</v>
      </c>
      <c r="O24" s="56">
        <v>1</v>
      </c>
      <c r="P24" s="57">
        <v>1</v>
      </c>
      <c r="Q24" s="31">
        <v>1</v>
      </c>
      <c r="R24" s="33">
        <v>1</v>
      </c>
      <c r="S24" s="33">
        <v>1</v>
      </c>
      <c r="T24" s="33">
        <v>1</v>
      </c>
      <c r="U24" s="33">
        <v>1</v>
      </c>
      <c r="V24" s="32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  <c r="AC24" s="28">
        <v>0</v>
      </c>
      <c r="AD24" s="28">
        <v>0</v>
      </c>
      <c r="AE24" s="29">
        <v>0</v>
      </c>
      <c r="AF24" s="32">
        <v>1</v>
      </c>
      <c r="AG24" s="28">
        <v>1</v>
      </c>
      <c r="AH24" s="28">
        <v>1</v>
      </c>
      <c r="AI24" s="28">
        <v>1</v>
      </c>
      <c r="AJ24" s="28">
        <v>0</v>
      </c>
      <c r="AK24" s="29">
        <v>1</v>
      </c>
      <c r="AL24" s="32">
        <v>1</v>
      </c>
      <c r="AM24" s="28">
        <v>0</v>
      </c>
      <c r="AN24" s="28">
        <v>0</v>
      </c>
      <c r="AO24" s="28">
        <v>1</v>
      </c>
      <c r="AP24" s="28">
        <v>0</v>
      </c>
      <c r="AQ24" s="28">
        <v>1</v>
      </c>
      <c r="AR24" s="28">
        <v>1</v>
      </c>
      <c r="AS24" s="29">
        <v>1</v>
      </c>
      <c r="AT24" s="32">
        <v>0.5</v>
      </c>
      <c r="AU24" s="28">
        <v>0.5</v>
      </c>
      <c r="AV24" s="28">
        <v>0</v>
      </c>
      <c r="AW24" s="28">
        <v>1</v>
      </c>
      <c r="AX24" s="28">
        <v>1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9">
        <v>0</v>
      </c>
      <c r="BE24" s="32">
        <v>0</v>
      </c>
      <c r="BF24" s="28">
        <v>0</v>
      </c>
      <c r="BG24" s="29">
        <v>0</v>
      </c>
      <c r="BH24" s="33">
        <v>0</v>
      </c>
      <c r="BI24" s="33">
        <v>0</v>
      </c>
      <c r="BJ24" s="33">
        <v>0</v>
      </c>
    </row>
    <row r="25" spans="1:62" ht="39" customHeight="1" x14ac:dyDescent="0.35">
      <c r="A25" s="1"/>
      <c r="B25" s="1"/>
      <c r="C25" s="1"/>
      <c r="D25" s="53"/>
      <c r="E25" s="12" t="s">
        <v>192</v>
      </c>
      <c r="F25" s="54">
        <v>1</v>
      </c>
      <c r="G25" s="55">
        <v>1</v>
      </c>
      <c r="H25" s="56">
        <v>1</v>
      </c>
      <c r="I25" s="56">
        <v>1</v>
      </c>
      <c r="J25" s="56">
        <v>1</v>
      </c>
      <c r="K25" s="56">
        <v>1</v>
      </c>
      <c r="L25" s="56">
        <v>1</v>
      </c>
      <c r="M25" s="56">
        <v>1</v>
      </c>
      <c r="N25" s="56">
        <v>1</v>
      </c>
      <c r="O25" s="56">
        <v>1</v>
      </c>
      <c r="P25" s="57">
        <v>1</v>
      </c>
      <c r="Q25" s="31">
        <v>1</v>
      </c>
      <c r="R25" s="33">
        <v>1</v>
      </c>
      <c r="S25" s="33">
        <v>1</v>
      </c>
      <c r="T25" s="33">
        <v>1</v>
      </c>
      <c r="U25" s="33">
        <v>0</v>
      </c>
      <c r="V25" s="32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9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9">
        <v>0</v>
      </c>
      <c r="AL25" s="32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9">
        <v>0</v>
      </c>
      <c r="AT25" s="32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9">
        <v>0</v>
      </c>
      <c r="BE25" s="32">
        <v>0</v>
      </c>
      <c r="BF25" s="28">
        <v>0</v>
      </c>
      <c r="BG25" s="29">
        <v>0</v>
      </c>
      <c r="BH25" s="33">
        <v>0</v>
      </c>
      <c r="BI25" s="33">
        <v>0</v>
      </c>
      <c r="BJ25" s="33">
        <v>0</v>
      </c>
    </row>
    <row r="26" spans="1:62" ht="39" customHeight="1" x14ac:dyDescent="0.35">
      <c r="A26" s="1"/>
      <c r="B26" s="1"/>
      <c r="C26" s="1"/>
      <c r="D26" s="53"/>
      <c r="E26" s="12" t="s">
        <v>193</v>
      </c>
      <c r="F26" s="54">
        <v>1</v>
      </c>
      <c r="G26" s="55">
        <v>1</v>
      </c>
      <c r="H26" s="56">
        <v>1</v>
      </c>
      <c r="I26" s="56">
        <v>1</v>
      </c>
      <c r="J26" s="56">
        <v>1</v>
      </c>
      <c r="K26" s="56">
        <v>1</v>
      </c>
      <c r="L26" s="56">
        <v>1</v>
      </c>
      <c r="M26" s="56">
        <v>1</v>
      </c>
      <c r="N26" s="56">
        <v>1</v>
      </c>
      <c r="O26" s="56">
        <v>1</v>
      </c>
      <c r="P26" s="57">
        <v>1</v>
      </c>
      <c r="Q26" s="31">
        <v>1</v>
      </c>
      <c r="R26" s="33">
        <v>1</v>
      </c>
      <c r="S26" s="33">
        <v>1</v>
      </c>
      <c r="T26" s="33">
        <v>1</v>
      </c>
      <c r="U26" s="33">
        <v>0</v>
      </c>
      <c r="V26" s="32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9">
        <v>0</v>
      </c>
      <c r="AF26" s="32">
        <v>0</v>
      </c>
      <c r="AG26" s="28">
        <v>0</v>
      </c>
      <c r="AH26" s="28">
        <v>0</v>
      </c>
      <c r="AI26" s="28">
        <v>0</v>
      </c>
      <c r="AJ26" s="28">
        <v>0</v>
      </c>
      <c r="AK26" s="29">
        <v>0</v>
      </c>
      <c r="AL26" s="32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9">
        <v>0</v>
      </c>
      <c r="AT26" s="32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9">
        <v>0</v>
      </c>
      <c r="BE26" s="32">
        <v>0</v>
      </c>
      <c r="BF26" s="28">
        <v>0</v>
      </c>
      <c r="BG26" s="29">
        <v>0</v>
      </c>
      <c r="BH26" s="33">
        <v>0</v>
      </c>
      <c r="BI26" s="33">
        <v>0</v>
      </c>
      <c r="BJ26" s="33">
        <v>0</v>
      </c>
    </row>
    <row r="27" spans="1:62" ht="39" customHeight="1" x14ac:dyDescent="0.35">
      <c r="A27" s="1"/>
      <c r="B27" s="1"/>
      <c r="C27" s="1"/>
      <c r="D27" s="53"/>
      <c r="E27" s="12" t="s">
        <v>194</v>
      </c>
      <c r="F27" s="54">
        <v>1</v>
      </c>
      <c r="G27" s="55">
        <v>1</v>
      </c>
      <c r="H27" s="56">
        <v>1</v>
      </c>
      <c r="I27" s="56">
        <v>1</v>
      </c>
      <c r="J27" s="56">
        <v>1</v>
      </c>
      <c r="K27" s="56">
        <v>1</v>
      </c>
      <c r="L27" s="56">
        <v>1</v>
      </c>
      <c r="M27" s="56">
        <v>1</v>
      </c>
      <c r="N27" s="56">
        <v>1</v>
      </c>
      <c r="O27" s="56">
        <v>1</v>
      </c>
      <c r="P27" s="57">
        <v>1</v>
      </c>
      <c r="Q27" s="31">
        <v>1</v>
      </c>
      <c r="R27" s="33">
        <v>1</v>
      </c>
      <c r="S27" s="33">
        <v>1</v>
      </c>
      <c r="T27" s="33">
        <v>1</v>
      </c>
      <c r="U27" s="33">
        <v>0</v>
      </c>
      <c r="V27" s="32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9">
        <v>0</v>
      </c>
      <c r="AF27" s="32">
        <v>0</v>
      </c>
      <c r="AG27" s="28">
        <v>0</v>
      </c>
      <c r="AH27" s="28">
        <v>0</v>
      </c>
      <c r="AI27" s="28">
        <v>0</v>
      </c>
      <c r="AJ27" s="28">
        <v>0</v>
      </c>
      <c r="AK27" s="29">
        <v>0</v>
      </c>
      <c r="AL27" s="32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9">
        <v>0</v>
      </c>
      <c r="AT27" s="32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9">
        <v>0</v>
      </c>
      <c r="BE27" s="32">
        <v>0</v>
      </c>
      <c r="BF27" s="28">
        <v>0</v>
      </c>
      <c r="BG27" s="29">
        <v>0</v>
      </c>
      <c r="BH27" s="33">
        <v>0</v>
      </c>
      <c r="BI27" s="33">
        <v>0</v>
      </c>
      <c r="BJ27" s="33">
        <v>0</v>
      </c>
    </row>
    <row r="28" spans="1:62" ht="39" customHeight="1" x14ac:dyDescent="0.35">
      <c r="A28" s="1"/>
      <c r="B28" s="1"/>
      <c r="C28" s="1"/>
      <c r="D28" s="53"/>
      <c r="E28" s="12" t="s">
        <v>195</v>
      </c>
      <c r="F28" s="54">
        <v>1</v>
      </c>
      <c r="G28" s="55">
        <v>1</v>
      </c>
      <c r="H28" s="56">
        <v>1</v>
      </c>
      <c r="I28" s="56">
        <v>1</v>
      </c>
      <c r="J28" s="56">
        <v>1</v>
      </c>
      <c r="K28" s="56">
        <v>1</v>
      </c>
      <c r="L28" s="56">
        <v>1</v>
      </c>
      <c r="M28" s="56">
        <v>1</v>
      </c>
      <c r="N28" s="56">
        <v>1</v>
      </c>
      <c r="O28" s="56">
        <v>1</v>
      </c>
      <c r="P28" s="57">
        <v>1</v>
      </c>
      <c r="Q28" s="31">
        <v>1</v>
      </c>
      <c r="R28" s="33">
        <v>1</v>
      </c>
      <c r="S28" s="33">
        <v>1</v>
      </c>
      <c r="T28" s="33">
        <v>1</v>
      </c>
      <c r="U28" s="33">
        <v>0</v>
      </c>
      <c r="V28" s="32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9">
        <v>0</v>
      </c>
      <c r="AF28" s="32">
        <v>0</v>
      </c>
      <c r="AG28" s="28">
        <v>0</v>
      </c>
      <c r="AH28" s="28">
        <v>0</v>
      </c>
      <c r="AI28" s="28">
        <v>0</v>
      </c>
      <c r="AJ28" s="28">
        <v>0</v>
      </c>
      <c r="AK28" s="29">
        <v>0</v>
      </c>
      <c r="AL28" s="32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9">
        <v>0</v>
      </c>
      <c r="AT28" s="32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9">
        <v>0</v>
      </c>
      <c r="BE28" s="32">
        <v>0</v>
      </c>
      <c r="BF28" s="28">
        <v>0</v>
      </c>
      <c r="BG28" s="29">
        <v>0</v>
      </c>
      <c r="BH28" s="33">
        <v>0</v>
      </c>
      <c r="BI28" s="33">
        <v>0</v>
      </c>
      <c r="BJ28" s="33">
        <v>0</v>
      </c>
    </row>
    <row r="29" spans="1:62" ht="39" customHeight="1" x14ac:dyDescent="0.35">
      <c r="A29" s="1"/>
      <c r="B29" s="1"/>
      <c r="C29" s="1"/>
      <c r="D29" s="53"/>
      <c r="E29" s="12" t="s">
        <v>196</v>
      </c>
      <c r="F29" s="54">
        <v>1</v>
      </c>
      <c r="G29" s="55">
        <v>1</v>
      </c>
      <c r="H29" s="56">
        <v>1</v>
      </c>
      <c r="I29" s="56">
        <v>1</v>
      </c>
      <c r="J29" s="56">
        <v>1</v>
      </c>
      <c r="K29" s="56">
        <v>1</v>
      </c>
      <c r="L29" s="56">
        <v>1</v>
      </c>
      <c r="M29" s="56">
        <v>1</v>
      </c>
      <c r="N29" s="56">
        <v>1</v>
      </c>
      <c r="O29" s="56">
        <v>1</v>
      </c>
      <c r="P29" s="57">
        <v>1</v>
      </c>
      <c r="Q29" s="31">
        <v>1</v>
      </c>
      <c r="R29" s="33">
        <v>1</v>
      </c>
      <c r="S29" s="33">
        <v>1</v>
      </c>
      <c r="T29" s="33">
        <v>1</v>
      </c>
      <c r="U29" s="33">
        <v>0</v>
      </c>
      <c r="V29" s="32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9">
        <v>0</v>
      </c>
      <c r="AF29" s="32">
        <v>0</v>
      </c>
      <c r="AG29" s="28">
        <v>0</v>
      </c>
      <c r="AH29" s="28">
        <v>0</v>
      </c>
      <c r="AI29" s="28">
        <v>0</v>
      </c>
      <c r="AJ29" s="28">
        <v>0</v>
      </c>
      <c r="AK29" s="29">
        <v>0</v>
      </c>
      <c r="AL29" s="32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9">
        <v>0</v>
      </c>
      <c r="AT29" s="32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9">
        <v>0</v>
      </c>
      <c r="BE29" s="32">
        <v>0</v>
      </c>
      <c r="BF29" s="28">
        <v>0</v>
      </c>
      <c r="BG29" s="29">
        <v>0</v>
      </c>
      <c r="BH29" s="33">
        <v>0</v>
      </c>
      <c r="BI29" s="33">
        <v>0</v>
      </c>
      <c r="BJ29" s="33">
        <v>0</v>
      </c>
    </row>
    <row r="30" spans="1:62" ht="39" customHeight="1" x14ac:dyDescent="0.35">
      <c r="A30" s="1"/>
      <c r="B30" s="1"/>
      <c r="C30" s="1"/>
      <c r="D30" s="53"/>
      <c r="E30" s="12" t="s">
        <v>197</v>
      </c>
      <c r="F30" s="54">
        <v>1</v>
      </c>
      <c r="G30" s="55">
        <v>1</v>
      </c>
      <c r="H30" s="56">
        <v>1</v>
      </c>
      <c r="I30" s="56">
        <v>1</v>
      </c>
      <c r="J30" s="56">
        <v>1</v>
      </c>
      <c r="K30" s="56">
        <v>1</v>
      </c>
      <c r="L30" s="56">
        <v>1</v>
      </c>
      <c r="M30" s="56">
        <v>1</v>
      </c>
      <c r="N30" s="56">
        <v>1</v>
      </c>
      <c r="O30" s="56">
        <v>1</v>
      </c>
      <c r="P30" s="57">
        <v>1</v>
      </c>
      <c r="Q30" s="31">
        <v>1</v>
      </c>
      <c r="R30" s="33">
        <v>1</v>
      </c>
      <c r="S30" s="62">
        <v>46220</v>
      </c>
      <c r="T30" s="33">
        <v>0</v>
      </c>
      <c r="U30" s="33">
        <v>0</v>
      </c>
      <c r="V30" s="32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9">
        <v>0</v>
      </c>
      <c r="AF30" s="32">
        <v>0</v>
      </c>
      <c r="AG30" s="28">
        <v>0</v>
      </c>
      <c r="AH30" s="28">
        <v>0</v>
      </c>
      <c r="AI30" s="28">
        <v>0</v>
      </c>
      <c r="AJ30" s="28">
        <v>0</v>
      </c>
      <c r="AK30" s="29">
        <v>0</v>
      </c>
      <c r="AL30" s="32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9">
        <v>0</v>
      </c>
      <c r="AT30" s="32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9">
        <v>0</v>
      </c>
      <c r="BE30" s="32">
        <v>0</v>
      </c>
      <c r="BF30" s="28">
        <v>0</v>
      </c>
      <c r="BG30" s="29">
        <v>0</v>
      </c>
      <c r="BH30" s="33">
        <v>0</v>
      </c>
      <c r="BI30" s="33">
        <v>0</v>
      </c>
      <c r="BJ30" s="33">
        <v>0</v>
      </c>
    </row>
    <row r="31" spans="1:62" ht="39" customHeight="1" x14ac:dyDescent="0.35">
      <c r="A31" s="1"/>
      <c r="B31" s="1"/>
      <c r="C31" s="1"/>
      <c r="D31" s="53"/>
      <c r="E31" s="12" t="s">
        <v>198</v>
      </c>
      <c r="F31" s="54">
        <v>1</v>
      </c>
      <c r="G31" s="55">
        <v>1</v>
      </c>
      <c r="H31" s="56">
        <v>1</v>
      </c>
      <c r="I31" s="56">
        <v>1</v>
      </c>
      <c r="J31" s="56">
        <v>1</v>
      </c>
      <c r="K31" s="56">
        <v>1</v>
      </c>
      <c r="L31" s="56">
        <v>1</v>
      </c>
      <c r="M31" s="56">
        <v>1</v>
      </c>
      <c r="N31" s="56">
        <v>1</v>
      </c>
      <c r="O31" s="56">
        <v>1</v>
      </c>
      <c r="P31" s="57">
        <v>1</v>
      </c>
      <c r="Q31" s="63">
        <v>0.5</v>
      </c>
      <c r="R31" s="33">
        <v>0</v>
      </c>
      <c r="S31" s="33">
        <v>0</v>
      </c>
      <c r="T31" s="33">
        <v>0</v>
      </c>
      <c r="U31" s="33">
        <v>0</v>
      </c>
      <c r="V31" s="32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9">
        <v>0</v>
      </c>
      <c r="AF31" s="32">
        <v>0</v>
      </c>
      <c r="AG31" s="28">
        <v>0</v>
      </c>
      <c r="AH31" s="28">
        <v>0</v>
      </c>
      <c r="AI31" s="28">
        <v>0</v>
      </c>
      <c r="AJ31" s="28">
        <v>0</v>
      </c>
      <c r="AK31" s="29">
        <v>0</v>
      </c>
      <c r="AL31" s="32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9">
        <v>0</v>
      </c>
      <c r="AT31" s="32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9">
        <v>0</v>
      </c>
      <c r="BE31" s="32">
        <v>0</v>
      </c>
      <c r="BF31" s="28">
        <v>0</v>
      </c>
      <c r="BG31" s="29">
        <v>0</v>
      </c>
      <c r="BH31" s="33">
        <v>0</v>
      </c>
      <c r="BI31" s="33">
        <v>0</v>
      </c>
      <c r="BJ31" s="33">
        <v>0</v>
      </c>
    </row>
    <row r="32" spans="1:62" ht="39" customHeight="1" x14ac:dyDescent="0.35">
      <c r="A32" s="1"/>
      <c r="B32" s="1"/>
      <c r="C32" s="1"/>
      <c r="D32" s="53"/>
      <c r="E32" s="12" t="s">
        <v>199</v>
      </c>
      <c r="F32" s="54">
        <v>1</v>
      </c>
      <c r="G32" s="55">
        <v>1</v>
      </c>
      <c r="H32" s="56">
        <v>1</v>
      </c>
      <c r="I32" s="56">
        <v>1</v>
      </c>
      <c r="J32" s="56">
        <v>1</v>
      </c>
      <c r="K32" s="56">
        <v>1</v>
      </c>
      <c r="L32" s="56">
        <v>1</v>
      </c>
      <c r="M32" s="56">
        <v>1</v>
      </c>
      <c r="N32" s="56">
        <v>1</v>
      </c>
      <c r="O32" s="56">
        <v>1</v>
      </c>
      <c r="P32" s="57">
        <v>1</v>
      </c>
      <c r="Q32" s="31">
        <v>1</v>
      </c>
      <c r="R32" s="33">
        <v>1</v>
      </c>
      <c r="S32" s="62">
        <v>46220</v>
      </c>
      <c r="T32" s="33">
        <v>0</v>
      </c>
      <c r="U32" s="33">
        <v>0</v>
      </c>
      <c r="V32" s="32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9">
        <v>0</v>
      </c>
      <c r="AF32" s="32">
        <v>0</v>
      </c>
      <c r="AG32" s="28">
        <v>0</v>
      </c>
      <c r="AH32" s="28">
        <v>0</v>
      </c>
      <c r="AI32" s="28">
        <v>0</v>
      </c>
      <c r="AJ32" s="28">
        <v>0</v>
      </c>
      <c r="AK32" s="29">
        <v>0</v>
      </c>
      <c r="AL32" s="32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9">
        <v>0</v>
      </c>
      <c r="AT32" s="32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9">
        <v>0</v>
      </c>
      <c r="BE32" s="32">
        <v>0</v>
      </c>
      <c r="BF32" s="28">
        <v>0</v>
      </c>
      <c r="BG32" s="29">
        <v>0</v>
      </c>
      <c r="BH32" s="33">
        <v>0</v>
      </c>
      <c r="BI32" s="33">
        <v>0</v>
      </c>
      <c r="BJ32" s="33">
        <v>0</v>
      </c>
    </row>
    <row r="33" spans="1:62" ht="39" customHeight="1" x14ac:dyDescent="0.35">
      <c r="A33" s="1"/>
      <c r="B33" s="1"/>
      <c r="C33" s="1"/>
      <c r="D33" s="80"/>
      <c r="E33" s="12" t="s">
        <v>200</v>
      </c>
      <c r="F33" s="54">
        <v>1</v>
      </c>
      <c r="G33" s="55">
        <v>1</v>
      </c>
      <c r="H33" s="56">
        <v>1</v>
      </c>
      <c r="I33" s="56">
        <v>1</v>
      </c>
      <c r="J33" s="56">
        <v>1</v>
      </c>
      <c r="K33" s="56">
        <v>1</v>
      </c>
      <c r="L33" s="56">
        <v>1</v>
      </c>
      <c r="M33" s="56">
        <v>1</v>
      </c>
      <c r="N33" s="56">
        <v>1</v>
      </c>
      <c r="O33" s="56">
        <v>1</v>
      </c>
      <c r="P33" s="57">
        <v>1</v>
      </c>
      <c r="Q33" s="63">
        <v>0.5</v>
      </c>
      <c r="R33" s="31">
        <v>0</v>
      </c>
      <c r="S33" s="31">
        <v>0</v>
      </c>
      <c r="T33" s="31">
        <v>0</v>
      </c>
      <c r="U33" s="31">
        <v>0</v>
      </c>
      <c r="V33" s="32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9">
        <v>0</v>
      </c>
      <c r="AF33" s="32">
        <v>0</v>
      </c>
      <c r="AG33" s="28">
        <v>0</v>
      </c>
      <c r="AH33" s="28">
        <v>0</v>
      </c>
      <c r="AI33" s="28">
        <v>0</v>
      </c>
      <c r="AJ33" s="28">
        <v>0</v>
      </c>
      <c r="AK33" s="29">
        <v>0</v>
      </c>
      <c r="AL33" s="32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9">
        <v>0</v>
      </c>
      <c r="AT33" s="32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9">
        <v>0</v>
      </c>
      <c r="BE33" s="32">
        <v>0</v>
      </c>
      <c r="BF33" s="28">
        <v>0</v>
      </c>
      <c r="BG33" s="29">
        <v>0</v>
      </c>
      <c r="BH33" s="33">
        <v>0</v>
      </c>
      <c r="BI33" s="33">
        <v>0</v>
      </c>
      <c r="BJ33" s="33">
        <v>0</v>
      </c>
    </row>
    <row r="34" spans="1:62" ht="39" customHeight="1" x14ac:dyDescent="0.35">
      <c r="A34" s="1"/>
      <c r="B34" s="1"/>
      <c r="C34" s="1"/>
      <c r="D34" s="81"/>
      <c r="E34" s="12" t="s">
        <v>201</v>
      </c>
      <c r="F34" s="54">
        <v>1</v>
      </c>
      <c r="G34" s="55">
        <v>1</v>
      </c>
      <c r="H34" s="56">
        <v>1</v>
      </c>
      <c r="I34" s="56">
        <v>1</v>
      </c>
      <c r="J34" s="56">
        <v>1</v>
      </c>
      <c r="K34" s="56">
        <v>1</v>
      </c>
      <c r="L34" s="56">
        <v>1</v>
      </c>
      <c r="M34" s="56">
        <v>1</v>
      </c>
      <c r="N34" s="56">
        <v>1</v>
      </c>
      <c r="O34" s="56">
        <v>1</v>
      </c>
      <c r="P34" s="57">
        <v>1</v>
      </c>
      <c r="Q34" s="63">
        <v>0.5</v>
      </c>
      <c r="R34" s="31">
        <v>0</v>
      </c>
      <c r="S34" s="31">
        <v>0</v>
      </c>
      <c r="T34" s="31">
        <v>0</v>
      </c>
      <c r="U34" s="31">
        <v>0</v>
      </c>
      <c r="V34" s="32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9">
        <v>0</v>
      </c>
      <c r="AF34" s="32">
        <v>0</v>
      </c>
      <c r="AG34" s="28">
        <v>0</v>
      </c>
      <c r="AH34" s="28">
        <v>0</v>
      </c>
      <c r="AI34" s="28">
        <v>0</v>
      </c>
      <c r="AJ34" s="28">
        <v>0</v>
      </c>
      <c r="AK34" s="29">
        <v>0</v>
      </c>
      <c r="AL34" s="32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9">
        <v>0</v>
      </c>
      <c r="AT34" s="32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9">
        <v>0</v>
      </c>
      <c r="BE34" s="32">
        <v>0</v>
      </c>
      <c r="BF34" s="28">
        <v>0</v>
      </c>
      <c r="BG34" s="29">
        <v>0</v>
      </c>
      <c r="BH34" s="33">
        <v>0</v>
      </c>
      <c r="BI34" s="33">
        <v>0</v>
      </c>
      <c r="BJ34" s="33">
        <v>0</v>
      </c>
    </row>
    <row r="35" spans="1:62" ht="39" customHeight="1" x14ac:dyDescent="0.35">
      <c r="A35" s="1"/>
      <c r="B35" s="1"/>
      <c r="C35" s="1"/>
      <c r="D35" s="81"/>
      <c r="E35" s="12" t="s">
        <v>202</v>
      </c>
      <c r="F35" s="54">
        <v>1</v>
      </c>
      <c r="G35" s="55">
        <v>1</v>
      </c>
      <c r="H35" s="56">
        <v>1</v>
      </c>
      <c r="I35" s="56">
        <v>1</v>
      </c>
      <c r="J35" s="56">
        <v>1</v>
      </c>
      <c r="K35" s="38">
        <v>1</v>
      </c>
      <c r="L35" s="37">
        <v>1</v>
      </c>
      <c r="M35" s="38">
        <v>0.4</v>
      </c>
      <c r="N35" s="38">
        <v>0</v>
      </c>
      <c r="O35" s="38">
        <v>0</v>
      </c>
      <c r="P35" s="39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2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9">
        <v>0</v>
      </c>
      <c r="AF35" s="32">
        <v>0</v>
      </c>
      <c r="AG35" s="28">
        <v>0</v>
      </c>
      <c r="AH35" s="28">
        <v>0</v>
      </c>
      <c r="AI35" s="28">
        <v>0</v>
      </c>
      <c r="AJ35" s="28">
        <v>0</v>
      </c>
      <c r="AK35" s="29">
        <v>0</v>
      </c>
      <c r="AL35" s="32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9">
        <v>0</v>
      </c>
      <c r="AT35" s="32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9">
        <v>0</v>
      </c>
      <c r="BE35" s="32">
        <v>0</v>
      </c>
      <c r="BF35" s="28">
        <v>0</v>
      </c>
      <c r="BG35" s="29">
        <v>0</v>
      </c>
      <c r="BH35" s="33">
        <v>0</v>
      </c>
      <c r="BI35" s="33">
        <v>0</v>
      </c>
      <c r="BJ35" s="33">
        <v>0</v>
      </c>
    </row>
    <row r="36" spans="1:62" ht="39" customHeight="1" x14ac:dyDescent="0.35">
      <c r="A36" s="1"/>
      <c r="B36" s="1"/>
      <c r="C36" s="1"/>
      <c r="D36" s="81"/>
      <c r="E36" s="12" t="s">
        <v>203</v>
      </c>
      <c r="F36" s="54">
        <v>1</v>
      </c>
      <c r="G36" s="55">
        <v>1</v>
      </c>
      <c r="H36" s="56">
        <v>1</v>
      </c>
      <c r="I36" s="56">
        <v>1</v>
      </c>
      <c r="J36" s="56">
        <v>1</v>
      </c>
      <c r="K36" s="56">
        <v>1</v>
      </c>
      <c r="L36" s="37">
        <v>1</v>
      </c>
      <c r="M36" s="37">
        <v>1</v>
      </c>
      <c r="N36" s="38">
        <v>0</v>
      </c>
      <c r="O36" s="38">
        <v>0</v>
      </c>
      <c r="P36" s="39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2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9">
        <v>0</v>
      </c>
      <c r="AF36" s="32">
        <v>0</v>
      </c>
      <c r="AG36" s="28">
        <v>0</v>
      </c>
      <c r="AH36" s="28">
        <v>0</v>
      </c>
      <c r="AI36" s="28">
        <v>0</v>
      </c>
      <c r="AJ36" s="28">
        <v>0</v>
      </c>
      <c r="AK36" s="29">
        <v>0</v>
      </c>
      <c r="AL36" s="32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9">
        <v>0</v>
      </c>
      <c r="AT36" s="32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9">
        <v>0</v>
      </c>
      <c r="BE36" s="32">
        <v>0</v>
      </c>
      <c r="BF36" s="28">
        <v>0</v>
      </c>
      <c r="BG36" s="29">
        <v>0</v>
      </c>
      <c r="BH36" s="33">
        <v>0</v>
      </c>
      <c r="BI36" s="33">
        <v>0</v>
      </c>
      <c r="BJ36" s="33">
        <v>0</v>
      </c>
    </row>
    <row r="37" spans="1:62" ht="39" customHeight="1" x14ac:dyDescent="0.35">
      <c r="A37" s="1"/>
      <c r="B37" s="1"/>
      <c r="C37" s="1"/>
      <c r="D37" s="53"/>
      <c r="E37" s="12" t="s">
        <v>204</v>
      </c>
      <c r="F37" s="54">
        <v>1</v>
      </c>
      <c r="G37" s="55">
        <v>1</v>
      </c>
      <c r="H37" s="56">
        <v>1</v>
      </c>
      <c r="I37" s="56">
        <v>1</v>
      </c>
      <c r="J37" s="56">
        <v>1</v>
      </c>
      <c r="K37" s="56">
        <v>1</v>
      </c>
      <c r="L37" s="56">
        <v>1</v>
      </c>
      <c r="M37" s="56">
        <v>1</v>
      </c>
      <c r="N37" s="56">
        <v>1</v>
      </c>
      <c r="O37" s="56">
        <v>1</v>
      </c>
      <c r="P37" s="39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2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9">
        <v>0</v>
      </c>
      <c r="AF37" s="32">
        <v>0</v>
      </c>
      <c r="AG37" s="28">
        <v>0</v>
      </c>
      <c r="AH37" s="28">
        <v>0</v>
      </c>
      <c r="AI37" s="28">
        <v>0</v>
      </c>
      <c r="AJ37" s="28">
        <v>0</v>
      </c>
      <c r="AK37" s="29">
        <v>0</v>
      </c>
      <c r="AL37" s="32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9">
        <v>0</v>
      </c>
      <c r="AT37" s="32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9">
        <v>0</v>
      </c>
      <c r="BE37" s="32">
        <v>0</v>
      </c>
      <c r="BF37" s="28">
        <v>0</v>
      </c>
      <c r="BG37" s="29">
        <v>0</v>
      </c>
      <c r="BH37" s="33">
        <v>0</v>
      </c>
      <c r="BI37" s="33">
        <v>0</v>
      </c>
      <c r="BJ37" s="33">
        <v>0</v>
      </c>
    </row>
    <row r="38" spans="1:62" ht="39" customHeight="1" x14ac:dyDescent="0.35">
      <c r="A38" s="1"/>
      <c r="B38" s="1"/>
      <c r="C38" s="1"/>
      <c r="D38" s="53"/>
      <c r="E38" s="12" t="s">
        <v>205</v>
      </c>
      <c r="F38" s="54">
        <v>1</v>
      </c>
      <c r="G38" s="55">
        <v>1</v>
      </c>
      <c r="H38" s="56">
        <v>1</v>
      </c>
      <c r="I38" s="56">
        <v>1</v>
      </c>
      <c r="J38" s="56">
        <v>1</v>
      </c>
      <c r="K38" s="56">
        <v>1</v>
      </c>
      <c r="L38" s="56">
        <v>1</v>
      </c>
      <c r="M38" s="56">
        <v>1</v>
      </c>
      <c r="N38" s="56">
        <v>1</v>
      </c>
      <c r="O38" s="56">
        <v>1</v>
      </c>
      <c r="P38" s="39">
        <v>1</v>
      </c>
      <c r="Q38" s="63">
        <v>0.5</v>
      </c>
      <c r="R38" s="31">
        <v>0</v>
      </c>
      <c r="S38" s="31">
        <v>0</v>
      </c>
      <c r="T38" s="31">
        <v>0</v>
      </c>
      <c r="U38" s="31">
        <v>0</v>
      </c>
      <c r="V38" s="32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9">
        <v>0</v>
      </c>
      <c r="AF38" s="32">
        <v>0</v>
      </c>
      <c r="AG38" s="28">
        <v>0</v>
      </c>
      <c r="AH38" s="28">
        <v>0</v>
      </c>
      <c r="AI38" s="28">
        <v>0</v>
      </c>
      <c r="AJ38" s="28">
        <v>0</v>
      </c>
      <c r="AK38" s="29">
        <v>0</v>
      </c>
      <c r="AL38" s="32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9">
        <v>0</v>
      </c>
      <c r="AT38" s="32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9">
        <v>0</v>
      </c>
      <c r="BE38" s="32">
        <v>0</v>
      </c>
      <c r="BF38" s="28">
        <v>0</v>
      </c>
      <c r="BG38" s="29">
        <v>0</v>
      </c>
      <c r="BH38" s="33">
        <v>0</v>
      </c>
      <c r="BI38" s="33">
        <v>0</v>
      </c>
      <c r="BJ38" s="33">
        <v>0</v>
      </c>
    </row>
    <row r="39" spans="1:62" ht="39" customHeight="1" x14ac:dyDescent="0.35">
      <c r="A39" s="1"/>
      <c r="B39" s="1"/>
      <c r="C39" s="1"/>
      <c r="D39" s="1"/>
      <c r="E39" s="12" t="s">
        <v>206</v>
      </c>
      <c r="F39" s="54">
        <v>1</v>
      </c>
      <c r="G39" s="55">
        <v>1</v>
      </c>
      <c r="H39" s="56">
        <v>1</v>
      </c>
      <c r="I39" s="56">
        <v>1</v>
      </c>
      <c r="J39" s="56">
        <v>1</v>
      </c>
      <c r="K39" s="56">
        <v>1</v>
      </c>
      <c r="L39" s="56">
        <v>1</v>
      </c>
      <c r="M39" s="56">
        <v>1</v>
      </c>
      <c r="N39" s="56">
        <v>1</v>
      </c>
      <c r="O39" s="56">
        <v>1</v>
      </c>
      <c r="P39" s="39">
        <v>1</v>
      </c>
      <c r="Q39" s="63">
        <v>0.5</v>
      </c>
      <c r="R39" s="31">
        <v>0</v>
      </c>
      <c r="S39" s="31">
        <v>0</v>
      </c>
      <c r="T39" s="31">
        <v>0</v>
      </c>
      <c r="U39" s="31">
        <v>0</v>
      </c>
      <c r="V39" s="32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9">
        <v>0</v>
      </c>
      <c r="AF39" s="32">
        <v>0</v>
      </c>
      <c r="AG39" s="28">
        <v>0</v>
      </c>
      <c r="AH39" s="28">
        <v>0</v>
      </c>
      <c r="AI39" s="28">
        <v>0</v>
      </c>
      <c r="AJ39" s="28">
        <v>0</v>
      </c>
      <c r="AK39" s="29">
        <v>0</v>
      </c>
      <c r="AL39" s="32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9">
        <v>0</v>
      </c>
      <c r="AT39" s="32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9">
        <v>0</v>
      </c>
      <c r="BE39" s="32">
        <v>0</v>
      </c>
      <c r="BF39" s="28">
        <v>0</v>
      </c>
      <c r="BG39" s="29">
        <v>0</v>
      </c>
      <c r="BH39" s="33">
        <v>0</v>
      </c>
      <c r="BI39" s="33">
        <v>0</v>
      </c>
      <c r="BJ39" s="33">
        <v>0</v>
      </c>
    </row>
    <row r="40" spans="1:62" ht="39" customHeight="1" x14ac:dyDescent="0.35">
      <c r="A40" s="1"/>
      <c r="B40" s="1"/>
      <c r="C40" s="1"/>
      <c r="D40" s="1"/>
      <c r="E40" s="12" t="s">
        <v>207</v>
      </c>
      <c r="F40" s="54">
        <v>1</v>
      </c>
      <c r="G40" s="55">
        <v>1</v>
      </c>
      <c r="H40" s="56">
        <v>1</v>
      </c>
      <c r="I40" s="56">
        <v>1</v>
      </c>
      <c r="J40" s="56">
        <v>1</v>
      </c>
      <c r="K40" s="38">
        <v>1</v>
      </c>
      <c r="L40" s="37">
        <v>0.5</v>
      </c>
      <c r="M40" s="38">
        <v>0.5</v>
      </c>
      <c r="N40" s="38">
        <v>0</v>
      </c>
      <c r="O40" s="38">
        <v>0</v>
      </c>
      <c r="P40" s="39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2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9">
        <v>0</v>
      </c>
      <c r="AF40" s="32">
        <v>0</v>
      </c>
      <c r="AG40" s="28">
        <v>0</v>
      </c>
      <c r="AH40" s="28">
        <v>0</v>
      </c>
      <c r="AI40" s="28">
        <v>0</v>
      </c>
      <c r="AJ40" s="28">
        <v>0</v>
      </c>
      <c r="AK40" s="29">
        <v>0</v>
      </c>
      <c r="AL40" s="32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9">
        <v>0</v>
      </c>
      <c r="AT40" s="32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9">
        <v>0</v>
      </c>
      <c r="BE40" s="32">
        <v>0</v>
      </c>
      <c r="BF40" s="28">
        <v>0</v>
      </c>
      <c r="BG40" s="29">
        <v>0</v>
      </c>
      <c r="BH40" s="33">
        <v>0</v>
      </c>
      <c r="BI40" s="33">
        <v>0</v>
      </c>
      <c r="BJ40" s="33">
        <v>0</v>
      </c>
    </row>
    <row r="41" spans="1:62" ht="39" customHeight="1" x14ac:dyDescent="0.35">
      <c r="A41" s="1"/>
      <c r="B41" s="1"/>
      <c r="C41" s="1"/>
      <c r="D41" s="1"/>
      <c r="E41" s="12" t="s">
        <v>208</v>
      </c>
      <c r="F41" s="54">
        <v>1</v>
      </c>
      <c r="G41" s="55">
        <v>1</v>
      </c>
      <c r="H41" s="56">
        <v>1</v>
      </c>
      <c r="I41" s="56">
        <v>1</v>
      </c>
      <c r="J41" s="56">
        <v>1</v>
      </c>
      <c r="K41" s="56">
        <v>1</v>
      </c>
      <c r="L41" s="37">
        <v>0.5</v>
      </c>
      <c r="M41" s="38">
        <v>0.5</v>
      </c>
      <c r="N41" s="38">
        <v>0</v>
      </c>
      <c r="O41" s="38">
        <v>0</v>
      </c>
      <c r="P41" s="39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2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9">
        <v>0</v>
      </c>
      <c r="AF41" s="32">
        <v>0</v>
      </c>
      <c r="AG41" s="28">
        <v>0</v>
      </c>
      <c r="AH41" s="28">
        <v>0</v>
      </c>
      <c r="AI41" s="28">
        <v>0</v>
      </c>
      <c r="AJ41" s="28">
        <v>0</v>
      </c>
      <c r="AK41" s="29">
        <v>0</v>
      </c>
      <c r="AL41" s="32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9">
        <v>0</v>
      </c>
      <c r="AT41" s="32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9">
        <v>0</v>
      </c>
      <c r="BE41" s="32">
        <v>0</v>
      </c>
      <c r="BF41" s="28">
        <v>0</v>
      </c>
      <c r="BG41" s="29">
        <v>0</v>
      </c>
      <c r="BH41" s="33">
        <v>0</v>
      </c>
      <c r="BI41" s="33">
        <v>0</v>
      </c>
      <c r="BJ41" s="33">
        <v>0</v>
      </c>
    </row>
    <row r="42" spans="1:62" ht="39" customHeight="1" x14ac:dyDescent="0.35">
      <c r="A42" s="1"/>
      <c r="B42" s="1"/>
      <c r="C42" s="1"/>
      <c r="D42" s="1"/>
      <c r="E42" s="12" t="s">
        <v>209</v>
      </c>
      <c r="F42" s="31">
        <v>1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9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2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9">
        <v>0</v>
      </c>
      <c r="AF42" s="32">
        <v>0</v>
      </c>
      <c r="AG42" s="28">
        <v>0</v>
      </c>
      <c r="AH42" s="28">
        <v>0</v>
      </c>
      <c r="AI42" s="28">
        <v>0</v>
      </c>
      <c r="AJ42" s="28">
        <v>0</v>
      </c>
      <c r="AK42" s="29">
        <v>0</v>
      </c>
      <c r="AL42" s="32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9">
        <v>0</v>
      </c>
      <c r="AT42" s="32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9">
        <v>0</v>
      </c>
      <c r="BE42" s="32">
        <v>0</v>
      </c>
      <c r="BF42" s="28">
        <v>0</v>
      </c>
      <c r="BG42" s="29">
        <v>0</v>
      </c>
      <c r="BH42" s="33">
        <v>0</v>
      </c>
      <c r="BI42" s="33">
        <v>0</v>
      </c>
      <c r="BJ42" s="33">
        <v>0</v>
      </c>
    </row>
    <row r="43" spans="1:62" ht="39" customHeight="1" x14ac:dyDescent="0.35">
      <c r="A43" s="1"/>
      <c r="B43" s="1"/>
      <c r="C43" s="1"/>
      <c r="D43" s="1"/>
      <c r="E43" s="12" t="s">
        <v>210</v>
      </c>
      <c r="F43" s="31">
        <v>1</v>
      </c>
      <c r="G43" s="40">
        <v>1</v>
      </c>
      <c r="H43" s="40">
        <v>1</v>
      </c>
      <c r="I43" s="40">
        <v>1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9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2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9">
        <v>0</v>
      </c>
      <c r="AF43" s="32">
        <v>0</v>
      </c>
      <c r="AG43" s="28">
        <v>0</v>
      </c>
      <c r="AH43" s="28">
        <v>0</v>
      </c>
      <c r="AI43" s="28">
        <v>0</v>
      </c>
      <c r="AJ43" s="28">
        <v>0</v>
      </c>
      <c r="AK43" s="29">
        <v>0</v>
      </c>
      <c r="AL43" s="32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9">
        <v>0</v>
      </c>
      <c r="AT43" s="32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9">
        <v>0</v>
      </c>
      <c r="BE43" s="32">
        <v>0</v>
      </c>
      <c r="BF43" s="28">
        <v>0</v>
      </c>
      <c r="BG43" s="29">
        <v>0</v>
      </c>
      <c r="BH43" s="33">
        <v>0</v>
      </c>
      <c r="BI43" s="33">
        <v>0</v>
      </c>
      <c r="BJ43" s="33">
        <v>0</v>
      </c>
    </row>
    <row r="44" spans="1:62" ht="39" customHeight="1" x14ac:dyDescent="0.35">
      <c r="A44" s="1"/>
      <c r="B44" s="1"/>
      <c r="C44" s="1"/>
      <c r="D44" s="1"/>
      <c r="E44" s="12" t="s">
        <v>211</v>
      </c>
      <c r="F44" s="31">
        <v>1</v>
      </c>
      <c r="G44" s="64">
        <v>0.1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9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2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9">
        <v>0</v>
      </c>
      <c r="AF44" s="32">
        <v>0</v>
      </c>
      <c r="AG44" s="28">
        <v>0</v>
      </c>
      <c r="AH44" s="28">
        <v>0</v>
      </c>
      <c r="AI44" s="28">
        <v>0</v>
      </c>
      <c r="AJ44" s="28">
        <v>0</v>
      </c>
      <c r="AK44" s="29">
        <v>0</v>
      </c>
      <c r="AL44" s="32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9">
        <v>0</v>
      </c>
      <c r="AT44" s="32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9">
        <v>0</v>
      </c>
      <c r="BE44" s="32">
        <v>0</v>
      </c>
      <c r="BF44" s="28">
        <v>0</v>
      </c>
      <c r="BG44" s="29">
        <v>0</v>
      </c>
      <c r="BH44" s="33">
        <v>0</v>
      </c>
      <c r="BI44" s="33">
        <v>0</v>
      </c>
      <c r="BJ44" s="33">
        <v>0</v>
      </c>
    </row>
    <row r="45" spans="1:62" ht="39" customHeight="1" x14ac:dyDescent="0.35">
      <c r="A45" s="1"/>
      <c r="B45" s="1"/>
      <c r="C45" s="1"/>
      <c r="D45" s="1"/>
      <c r="E45" s="12" t="s">
        <v>212</v>
      </c>
      <c r="F45" s="31">
        <v>1</v>
      </c>
      <c r="G45" s="31">
        <v>1</v>
      </c>
      <c r="H45" s="31">
        <v>1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9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2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9">
        <v>0</v>
      </c>
      <c r="AF45" s="32">
        <v>0</v>
      </c>
      <c r="AG45" s="28">
        <v>0</v>
      </c>
      <c r="AH45" s="28">
        <v>0</v>
      </c>
      <c r="AI45" s="28">
        <v>0</v>
      </c>
      <c r="AJ45" s="28">
        <v>0</v>
      </c>
      <c r="AK45" s="29">
        <v>0</v>
      </c>
      <c r="AL45" s="32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9">
        <v>0</v>
      </c>
      <c r="AT45" s="32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9">
        <v>0</v>
      </c>
      <c r="BE45" s="32">
        <v>0</v>
      </c>
      <c r="BF45" s="28">
        <v>0</v>
      </c>
      <c r="BG45" s="29">
        <v>0</v>
      </c>
      <c r="BH45" s="33">
        <v>0</v>
      </c>
      <c r="BI45" s="33">
        <v>0</v>
      </c>
      <c r="BJ45" s="33">
        <v>0</v>
      </c>
    </row>
    <row r="46" spans="1:62" ht="39" customHeight="1" x14ac:dyDescent="0.35">
      <c r="A46" s="1"/>
      <c r="B46" s="1"/>
      <c r="C46" s="1"/>
      <c r="D46" s="1"/>
      <c r="E46" s="12" t="s">
        <v>213</v>
      </c>
      <c r="F46" s="31">
        <v>1</v>
      </c>
      <c r="G46" s="40">
        <v>0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9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2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9">
        <v>0</v>
      </c>
      <c r="AF46" s="32">
        <v>0</v>
      </c>
      <c r="AG46" s="28">
        <v>0</v>
      </c>
      <c r="AH46" s="28">
        <v>0</v>
      </c>
      <c r="AI46" s="28">
        <v>0</v>
      </c>
      <c r="AJ46" s="28">
        <v>0</v>
      </c>
      <c r="AK46" s="29">
        <v>0</v>
      </c>
      <c r="AL46" s="32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9">
        <v>0</v>
      </c>
      <c r="AT46" s="32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9">
        <v>0</v>
      </c>
      <c r="BE46" s="32">
        <v>0</v>
      </c>
      <c r="BF46" s="28">
        <v>0</v>
      </c>
      <c r="BG46" s="29">
        <v>0</v>
      </c>
      <c r="BH46" s="33">
        <v>0</v>
      </c>
      <c r="BI46" s="33">
        <v>0</v>
      </c>
      <c r="BJ46" s="33">
        <v>0</v>
      </c>
    </row>
    <row r="47" spans="1:62" ht="39" customHeight="1" x14ac:dyDescent="0.35">
      <c r="A47" s="1"/>
      <c r="B47" s="1"/>
      <c r="C47" s="1"/>
      <c r="D47" s="1"/>
      <c r="E47" s="12" t="s">
        <v>214</v>
      </c>
      <c r="F47" s="63">
        <v>1</v>
      </c>
      <c r="G47" s="64">
        <v>1</v>
      </c>
      <c r="H47" s="64">
        <v>1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9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2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9">
        <v>0</v>
      </c>
      <c r="AF47" s="32">
        <v>0</v>
      </c>
      <c r="AG47" s="28">
        <v>0</v>
      </c>
      <c r="AH47" s="28">
        <v>0</v>
      </c>
      <c r="AI47" s="28">
        <v>0</v>
      </c>
      <c r="AJ47" s="28">
        <v>0</v>
      </c>
      <c r="AK47" s="29">
        <v>0</v>
      </c>
      <c r="AL47" s="32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9">
        <v>0</v>
      </c>
      <c r="AT47" s="32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9">
        <v>0</v>
      </c>
      <c r="BE47" s="32">
        <v>0</v>
      </c>
      <c r="BF47" s="28">
        <v>0</v>
      </c>
      <c r="BG47" s="29">
        <v>0</v>
      </c>
      <c r="BH47" s="33">
        <v>0</v>
      </c>
      <c r="BI47" s="33">
        <v>0</v>
      </c>
      <c r="BJ47" s="33">
        <v>0</v>
      </c>
    </row>
    <row r="48" spans="1:62" ht="39" customHeight="1" x14ac:dyDescent="0.35">
      <c r="A48" s="1"/>
      <c r="B48" s="1"/>
      <c r="C48" s="1"/>
      <c r="D48" s="1"/>
      <c r="E48" s="12" t="s">
        <v>215</v>
      </c>
      <c r="F48" s="63">
        <v>1</v>
      </c>
      <c r="G48" s="64">
        <v>0.8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9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2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9">
        <v>0</v>
      </c>
      <c r="AF48" s="32">
        <v>0</v>
      </c>
      <c r="AG48" s="28">
        <v>0</v>
      </c>
      <c r="AH48" s="28">
        <v>0</v>
      </c>
      <c r="AI48" s="28">
        <v>0</v>
      </c>
      <c r="AJ48" s="28">
        <v>0</v>
      </c>
      <c r="AK48" s="29">
        <v>0</v>
      </c>
      <c r="AL48" s="32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9">
        <v>0</v>
      </c>
      <c r="AT48" s="32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9">
        <v>0</v>
      </c>
      <c r="BE48" s="32">
        <v>0</v>
      </c>
      <c r="BF48" s="28">
        <v>0</v>
      </c>
      <c r="BG48" s="29">
        <v>0</v>
      </c>
      <c r="BH48" s="33">
        <v>0</v>
      </c>
      <c r="BI48" s="33">
        <v>0</v>
      </c>
      <c r="BJ48" s="33">
        <v>0</v>
      </c>
    </row>
    <row r="49" spans="1:62" ht="39" customHeight="1" x14ac:dyDescent="0.35">
      <c r="A49" s="1"/>
      <c r="B49" s="1"/>
      <c r="C49" s="1"/>
      <c r="D49" s="1"/>
      <c r="E49" s="12" t="s">
        <v>216</v>
      </c>
      <c r="F49" s="63">
        <v>1</v>
      </c>
      <c r="G49" s="64">
        <v>0.5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9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2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9">
        <v>0</v>
      </c>
      <c r="AF49" s="32">
        <v>0</v>
      </c>
      <c r="AG49" s="28">
        <v>0</v>
      </c>
      <c r="AH49" s="28">
        <v>0</v>
      </c>
      <c r="AI49" s="28">
        <v>0</v>
      </c>
      <c r="AJ49" s="28">
        <v>0</v>
      </c>
      <c r="AK49" s="29">
        <v>0</v>
      </c>
      <c r="AL49" s="32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9">
        <v>0</v>
      </c>
      <c r="AT49" s="32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9">
        <v>0</v>
      </c>
      <c r="BE49" s="32">
        <v>0</v>
      </c>
      <c r="BF49" s="28">
        <v>0</v>
      </c>
      <c r="BG49" s="29">
        <v>0</v>
      </c>
      <c r="BH49" s="33">
        <v>0</v>
      </c>
      <c r="BI49" s="33">
        <v>0</v>
      </c>
      <c r="BJ49" s="33">
        <v>0</v>
      </c>
    </row>
    <row r="50" spans="1:62" ht="39" customHeight="1" x14ac:dyDescent="0.35">
      <c r="A50" s="1"/>
      <c r="B50" s="1"/>
      <c r="C50" s="1"/>
      <c r="D50" s="1"/>
      <c r="E50" s="12" t="s">
        <v>217</v>
      </c>
      <c r="F50" s="31">
        <v>0</v>
      </c>
      <c r="G50" s="40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9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2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9">
        <v>0</v>
      </c>
      <c r="AF50" s="32">
        <v>0</v>
      </c>
      <c r="AG50" s="28">
        <v>0</v>
      </c>
      <c r="AH50" s="28">
        <v>0</v>
      </c>
      <c r="AI50" s="28">
        <v>0</v>
      </c>
      <c r="AJ50" s="28">
        <v>0</v>
      </c>
      <c r="AK50" s="29">
        <v>0</v>
      </c>
      <c r="AL50" s="32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9">
        <v>0</v>
      </c>
      <c r="AT50" s="32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9">
        <v>0</v>
      </c>
      <c r="BE50" s="32">
        <v>0</v>
      </c>
      <c r="BF50" s="28">
        <v>0</v>
      </c>
      <c r="BG50" s="29">
        <v>0</v>
      </c>
      <c r="BH50" s="33">
        <v>0</v>
      </c>
      <c r="BI50" s="33">
        <v>0</v>
      </c>
      <c r="BJ50" s="33">
        <v>0</v>
      </c>
    </row>
    <row r="51" spans="1:62" ht="39" customHeight="1" x14ac:dyDescent="0.35">
      <c r="A51" s="1"/>
      <c r="B51" s="1"/>
      <c r="C51" s="1"/>
      <c r="D51" s="1"/>
      <c r="E51" s="12" t="s">
        <v>218</v>
      </c>
      <c r="F51" s="31">
        <v>0</v>
      </c>
      <c r="G51" s="40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9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2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9">
        <v>0</v>
      </c>
      <c r="AF51" s="32">
        <v>0</v>
      </c>
      <c r="AG51" s="28">
        <v>0</v>
      </c>
      <c r="AH51" s="28">
        <v>0</v>
      </c>
      <c r="AI51" s="28">
        <v>0</v>
      </c>
      <c r="AJ51" s="28">
        <v>0</v>
      </c>
      <c r="AK51" s="29">
        <v>0</v>
      </c>
      <c r="AL51" s="32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9">
        <v>0</v>
      </c>
      <c r="AT51" s="32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9">
        <v>0</v>
      </c>
      <c r="BE51" s="32">
        <v>0</v>
      </c>
      <c r="BF51" s="28">
        <v>0</v>
      </c>
      <c r="BG51" s="29">
        <v>0</v>
      </c>
      <c r="BH51" s="33">
        <v>0</v>
      </c>
      <c r="BI51" s="33">
        <v>0</v>
      </c>
      <c r="BJ51" s="33">
        <v>0</v>
      </c>
    </row>
    <row r="52" spans="1:62" ht="39" customHeight="1" x14ac:dyDescent="0.35">
      <c r="A52" s="1"/>
      <c r="B52" s="1"/>
      <c r="C52" s="1"/>
      <c r="D52" s="1"/>
      <c r="E52" s="12" t="s">
        <v>219</v>
      </c>
      <c r="F52" s="31">
        <v>0</v>
      </c>
      <c r="G52" s="40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9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2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9">
        <v>0</v>
      </c>
      <c r="AF52" s="32">
        <v>0</v>
      </c>
      <c r="AG52" s="28">
        <v>0</v>
      </c>
      <c r="AH52" s="28">
        <v>0</v>
      </c>
      <c r="AI52" s="28">
        <v>0</v>
      </c>
      <c r="AJ52" s="28">
        <v>0</v>
      </c>
      <c r="AK52" s="29">
        <v>0</v>
      </c>
      <c r="AL52" s="32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9">
        <v>0</v>
      </c>
      <c r="AT52" s="32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9">
        <v>0</v>
      </c>
      <c r="BE52" s="32">
        <v>0</v>
      </c>
      <c r="BF52" s="28">
        <v>0</v>
      </c>
      <c r="BG52" s="29">
        <v>0</v>
      </c>
      <c r="BH52" s="33">
        <v>0</v>
      </c>
      <c r="BI52" s="33">
        <v>0</v>
      </c>
      <c r="BJ52" s="33">
        <v>0</v>
      </c>
    </row>
    <row r="53" spans="1:62" ht="39" customHeight="1" x14ac:dyDescent="0.35">
      <c r="A53" s="1"/>
      <c r="B53" s="1"/>
      <c r="C53" s="1"/>
      <c r="D53" s="1"/>
      <c r="E53" s="12" t="s">
        <v>220</v>
      </c>
      <c r="F53" s="31">
        <v>0</v>
      </c>
      <c r="G53" s="40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9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2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9">
        <v>0</v>
      </c>
      <c r="AF53" s="32">
        <v>0</v>
      </c>
      <c r="AG53" s="28">
        <v>0</v>
      </c>
      <c r="AH53" s="28">
        <v>0</v>
      </c>
      <c r="AI53" s="28">
        <v>0</v>
      </c>
      <c r="AJ53" s="28">
        <v>0</v>
      </c>
      <c r="AK53" s="29">
        <v>0</v>
      </c>
      <c r="AL53" s="32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9">
        <v>0</v>
      </c>
      <c r="AT53" s="32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9">
        <v>0</v>
      </c>
      <c r="BE53" s="32">
        <v>0</v>
      </c>
      <c r="BF53" s="28">
        <v>0</v>
      </c>
      <c r="BG53" s="29">
        <v>0</v>
      </c>
      <c r="BH53" s="33">
        <v>0</v>
      </c>
      <c r="BI53" s="33">
        <v>0</v>
      </c>
      <c r="BJ53" s="33">
        <v>0</v>
      </c>
    </row>
    <row r="54" spans="1:62" ht="39" customHeight="1" x14ac:dyDescent="0.35">
      <c r="A54" s="1"/>
      <c r="B54" s="1"/>
      <c r="C54" s="1"/>
      <c r="D54" s="1"/>
      <c r="E54" s="12" t="s">
        <v>221</v>
      </c>
      <c r="F54" s="31">
        <v>0</v>
      </c>
      <c r="G54" s="40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9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2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9">
        <v>0</v>
      </c>
      <c r="AF54" s="32">
        <v>0</v>
      </c>
      <c r="AG54" s="28">
        <v>0</v>
      </c>
      <c r="AH54" s="28">
        <v>0</v>
      </c>
      <c r="AI54" s="28">
        <v>0</v>
      </c>
      <c r="AJ54" s="28">
        <v>0</v>
      </c>
      <c r="AK54" s="29">
        <v>0</v>
      </c>
      <c r="AL54" s="32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9">
        <v>0</v>
      </c>
      <c r="AT54" s="32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9">
        <v>0</v>
      </c>
      <c r="BE54" s="32">
        <v>0</v>
      </c>
      <c r="BF54" s="28">
        <v>0</v>
      </c>
      <c r="BG54" s="29">
        <v>0</v>
      </c>
      <c r="BH54" s="33">
        <v>0</v>
      </c>
      <c r="BI54" s="33">
        <v>0</v>
      </c>
      <c r="BJ54" s="33">
        <v>0</v>
      </c>
    </row>
    <row r="55" spans="1:62" ht="39" customHeight="1" x14ac:dyDescent="0.35">
      <c r="A55" s="1"/>
      <c r="B55" s="1"/>
      <c r="C55" s="1"/>
      <c r="D55" s="1"/>
      <c r="E55" s="12" t="s">
        <v>222</v>
      </c>
      <c r="F55" s="31">
        <v>0</v>
      </c>
      <c r="G55" s="40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9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2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9">
        <v>0</v>
      </c>
      <c r="AF55" s="32">
        <v>0</v>
      </c>
      <c r="AG55" s="28">
        <v>0</v>
      </c>
      <c r="AH55" s="28">
        <v>0</v>
      </c>
      <c r="AI55" s="28">
        <v>0</v>
      </c>
      <c r="AJ55" s="28">
        <v>0</v>
      </c>
      <c r="AK55" s="29">
        <v>0</v>
      </c>
      <c r="AL55" s="32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9">
        <v>0</v>
      </c>
      <c r="AT55" s="32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9">
        <v>0</v>
      </c>
      <c r="BE55" s="32">
        <v>0</v>
      </c>
      <c r="BF55" s="28">
        <v>0</v>
      </c>
      <c r="BG55" s="29">
        <v>0</v>
      </c>
      <c r="BH55" s="33">
        <v>0</v>
      </c>
      <c r="BI55" s="33">
        <v>0</v>
      </c>
      <c r="BJ55" s="33">
        <v>0</v>
      </c>
    </row>
    <row r="56" spans="1:62" ht="39" customHeight="1" x14ac:dyDescent="0.35">
      <c r="A56" s="1"/>
      <c r="B56" s="1"/>
      <c r="C56" s="1"/>
      <c r="D56" s="1"/>
      <c r="E56" s="12" t="s">
        <v>223</v>
      </c>
      <c r="F56" s="31">
        <v>0</v>
      </c>
      <c r="G56" s="40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9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2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9">
        <v>0</v>
      </c>
      <c r="AF56" s="32">
        <v>0</v>
      </c>
      <c r="AG56" s="28">
        <v>0</v>
      </c>
      <c r="AH56" s="28">
        <v>0</v>
      </c>
      <c r="AI56" s="28">
        <v>0</v>
      </c>
      <c r="AJ56" s="28">
        <v>0</v>
      </c>
      <c r="AK56" s="29">
        <v>0</v>
      </c>
      <c r="AL56" s="32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9">
        <v>0</v>
      </c>
      <c r="AT56" s="32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9">
        <v>0</v>
      </c>
      <c r="BE56" s="32">
        <v>0</v>
      </c>
      <c r="BF56" s="28">
        <v>0</v>
      </c>
      <c r="BG56" s="29">
        <v>0</v>
      </c>
      <c r="BH56" s="33">
        <v>0</v>
      </c>
      <c r="BI56" s="33">
        <v>0</v>
      </c>
      <c r="BJ56" s="33">
        <v>0</v>
      </c>
    </row>
    <row r="57" spans="1:62" ht="39" customHeight="1" x14ac:dyDescent="0.35">
      <c r="A57" s="1"/>
      <c r="B57" s="1"/>
      <c r="C57" s="1"/>
      <c r="D57" s="1"/>
      <c r="E57" s="12" t="s">
        <v>224</v>
      </c>
      <c r="F57" s="31">
        <v>0</v>
      </c>
      <c r="G57" s="40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9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2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9">
        <v>0</v>
      </c>
      <c r="AF57" s="32">
        <v>0</v>
      </c>
      <c r="AG57" s="28">
        <v>0</v>
      </c>
      <c r="AH57" s="28">
        <v>0</v>
      </c>
      <c r="AI57" s="28">
        <v>0</v>
      </c>
      <c r="AJ57" s="28">
        <v>0</v>
      </c>
      <c r="AK57" s="29">
        <v>0</v>
      </c>
      <c r="AL57" s="32">
        <v>0</v>
      </c>
      <c r="AM57" s="28">
        <v>0</v>
      </c>
      <c r="AN57" s="28">
        <v>0</v>
      </c>
      <c r="AO57" s="28">
        <v>0</v>
      </c>
      <c r="AP57" s="28">
        <v>0</v>
      </c>
      <c r="AQ57" s="28">
        <v>0</v>
      </c>
      <c r="AR57" s="28">
        <v>0</v>
      </c>
      <c r="AS57" s="29">
        <v>0</v>
      </c>
      <c r="AT57" s="32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9">
        <v>0</v>
      </c>
      <c r="BE57" s="32">
        <v>0</v>
      </c>
      <c r="BF57" s="28">
        <v>0</v>
      </c>
      <c r="BG57" s="29">
        <v>0</v>
      </c>
      <c r="BH57" s="33">
        <v>0</v>
      </c>
      <c r="BI57" s="33">
        <v>0</v>
      </c>
      <c r="BJ57" s="33">
        <v>0</v>
      </c>
    </row>
    <row r="58" spans="1:62" ht="39" customHeight="1" x14ac:dyDescent="0.35">
      <c r="A58" s="1"/>
      <c r="B58" s="1"/>
      <c r="C58" s="1"/>
      <c r="D58" s="1"/>
      <c r="E58" s="12" t="s">
        <v>225</v>
      </c>
      <c r="F58" s="31">
        <v>0</v>
      </c>
      <c r="G58" s="40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9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2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9">
        <v>0</v>
      </c>
      <c r="AF58" s="32">
        <v>0</v>
      </c>
      <c r="AG58" s="28">
        <v>0</v>
      </c>
      <c r="AH58" s="28">
        <v>0</v>
      </c>
      <c r="AI58" s="28">
        <v>0</v>
      </c>
      <c r="AJ58" s="28">
        <v>0</v>
      </c>
      <c r="AK58" s="29">
        <v>0</v>
      </c>
      <c r="AL58" s="32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9">
        <v>0</v>
      </c>
      <c r="AT58" s="32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9">
        <v>0</v>
      </c>
      <c r="BE58" s="32">
        <v>0</v>
      </c>
      <c r="BF58" s="28">
        <v>0</v>
      </c>
      <c r="BG58" s="29">
        <v>0</v>
      </c>
      <c r="BH58" s="33">
        <v>0</v>
      </c>
      <c r="BI58" s="33">
        <v>0</v>
      </c>
      <c r="BJ58" s="33">
        <v>0</v>
      </c>
    </row>
    <row r="59" spans="1:62" ht="39" customHeight="1" x14ac:dyDescent="0.35">
      <c r="A59" s="1"/>
      <c r="B59" s="1"/>
      <c r="C59" s="1"/>
      <c r="D59" s="1"/>
      <c r="E59" s="12" t="s">
        <v>226</v>
      </c>
      <c r="F59" s="31">
        <v>0</v>
      </c>
      <c r="G59" s="40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9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2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9">
        <v>0</v>
      </c>
      <c r="AF59" s="32">
        <v>0</v>
      </c>
      <c r="AG59" s="28">
        <v>0</v>
      </c>
      <c r="AH59" s="28">
        <v>0</v>
      </c>
      <c r="AI59" s="28">
        <v>0</v>
      </c>
      <c r="AJ59" s="28">
        <v>0</v>
      </c>
      <c r="AK59" s="29">
        <v>0</v>
      </c>
      <c r="AL59" s="32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9">
        <v>0</v>
      </c>
      <c r="AT59" s="32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9">
        <v>0</v>
      </c>
      <c r="BE59" s="32">
        <v>0</v>
      </c>
      <c r="BF59" s="28">
        <v>0</v>
      </c>
      <c r="BG59" s="29">
        <v>0</v>
      </c>
      <c r="BH59" s="33">
        <v>0</v>
      </c>
      <c r="BI59" s="33">
        <v>0</v>
      </c>
      <c r="BJ59" s="33">
        <v>0</v>
      </c>
    </row>
    <row r="60" spans="1:62" ht="39" customHeight="1" x14ac:dyDescent="0.35">
      <c r="A60" s="1"/>
      <c r="B60" s="1"/>
      <c r="C60" s="1"/>
      <c r="D60" s="1"/>
      <c r="E60" s="12" t="s">
        <v>227</v>
      </c>
      <c r="F60" s="31">
        <v>0</v>
      </c>
      <c r="G60" s="40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9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2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9">
        <v>0</v>
      </c>
      <c r="AF60" s="32">
        <v>0</v>
      </c>
      <c r="AG60" s="28">
        <v>0</v>
      </c>
      <c r="AH60" s="28">
        <v>0</v>
      </c>
      <c r="AI60" s="28">
        <v>0</v>
      </c>
      <c r="AJ60" s="28">
        <v>0</v>
      </c>
      <c r="AK60" s="29">
        <v>0</v>
      </c>
      <c r="AL60" s="32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9">
        <v>0</v>
      </c>
      <c r="AT60" s="32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9">
        <v>0</v>
      </c>
      <c r="BE60" s="32">
        <v>0</v>
      </c>
      <c r="BF60" s="28">
        <v>0</v>
      </c>
      <c r="BG60" s="29">
        <v>0</v>
      </c>
      <c r="BH60" s="33">
        <v>0</v>
      </c>
      <c r="BI60" s="33">
        <v>0</v>
      </c>
      <c r="BJ60" s="33">
        <v>0</v>
      </c>
    </row>
    <row r="61" spans="1:62" ht="39" customHeight="1" x14ac:dyDescent="0.35">
      <c r="A61" s="1"/>
      <c r="B61" s="1"/>
      <c r="C61" s="1"/>
      <c r="D61" s="1"/>
      <c r="E61" s="12" t="s">
        <v>228</v>
      </c>
      <c r="F61" s="31">
        <v>0</v>
      </c>
      <c r="G61" s="40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9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2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9">
        <v>0</v>
      </c>
      <c r="AF61" s="32">
        <v>0</v>
      </c>
      <c r="AG61" s="28">
        <v>0</v>
      </c>
      <c r="AH61" s="28">
        <v>0</v>
      </c>
      <c r="AI61" s="28">
        <v>0</v>
      </c>
      <c r="AJ61" s="28">
        <v>0</v>
      </c>
      <c r="AK61" s="29">
        <v>0</v>
      </c>
      <c r="AL61" s="32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9">
        <v>0</v>
      </c>
      <c r="AT61" s="32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9">
        <v>0</v>
      </c>
      <c r="BE61" s="32">
        <v>0</v>
      </c>
      <c r="BF61" s="28">
        <v>0</v>
      </c>
      <c r="BG61" s="29">
        <v>0</v>
      </c>
      <c r="BH61" s="33">
        <v>0</v>
      </c>
      <c r="BI61" s="33">
        <v>0</v>
      </c>
      <c r="BJ61" s="33">
        <v>0</v>
      </c>
    </row>
    <row r="62" spans="1:62" ht="39" customHeight="1" x14ac:dyDescent="0.35">
      <c r="A62" s="1"/>
      <c r="B62" s="1"/>
      <c r="C62" s="1"/>
      <c r="D62" s="1"/>
      <c r="E62" s="12" t="s">
        <v>229</v>
      </c>
      <c r="F62" s="31">
        <v>0</v>
      </c>
      <c r="G62" s="40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9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2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9">
        <v>0</v>
      </c>
      <c r="AF62" s="32">
        <v>0</v>
      </c>
      <c r="AG62" s="28">
        <v>0</v>
      </c>
      <c r="AH62" s="28">
        <v>0</v>
      </c>
      <c r="AI62" s="28">
        <v>0</v>
      </c>
      <c r="AJ62" s="28">
        <v>0</v>
      </c>
      <c r="AK62" s="29">
        <v>0</v>
      </c>
      <c r="AL62" s="32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9">
        <v>0</v>
      </c>
      <c r="AT62" s="32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9">
        <v>0</v>
      </c>
      <c r="BE62" s="32">
        <v>0</v>
      </c>
      <c r="BF62" s="28">
        <v>0</v>
      </c>
      <c r="BG62" s="29">
        <v>0</v>
      </c>
      <c r="BH62" s="33">
        <v>0</v>
      </c>
      <c r="BI62" s="33">
        <v>0</v>
      </c>
      <c r="BJ62" s="33">
        <v>0</v>
      </c>
    </row>
    <row r="63" spans="1:62" ht="39" customHeight="1" x14ac:dyDescent="0.35">
      <c r="A63" s="1"/>
      <c r="B63" s="1"/>
      <c r="C63" s="1"/>
      <c r="D63" s="1"/>
      <c r="E63" s="12" t="s">
        <v>230</v>
      </c>
      <c r="F63" s="31">
        <v>0</v>
      </c>
      <c r="G63" s="40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9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2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9">
        <v>0</v>
      </c>
      <c r="AF63" s="32">
        <v>0</v>
      </c>
      <c r="AG63" s="28">
        <v>0</v>
      </c>
      <c r="AH63" s="28">
        <v>0</v>
      </c>
      <c r="AI63" s="28">
        <v>0</v>
      </c>
      <c r="AJ63" s="28">
        <v>0</v>
      </c>
      <c r="AK63" s="29">
        <v>0</v>
      </c>
      <c r="AL63" s="32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9">
        <v>0</v>
      </c>
      <c r="AT63" s="32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9">
        <v>0</v>
      </c>
      <c r="BE63" s="32">
        <v>0</v>
      </c>
      <c r="BF63" s="28">
        <v>0</v>
      </c>
      <c r="BG63" s="29">
        <v>0</v>
      </c>
      <c r="BH63" s="33">
        <v>0</v>
      </c>
      <c r="BI63" s="33">
        <v>0</v>
      </c>
      <c r="BJ63" s="33">
        <v>0</v>
      </c>
    </row>
    <row r="64" spans="1:62" ht="39" customHeight="1" x14ac:dyDescent="0.35">
      <c r="A64" s="1"/>
      <c r="B64" s="1"/>
      <c r="C64" s="1"/>
      <c r="D64" s="1"/>
      <c r="E64" s="12" t="s">
        <v>231</v>
      </c>
      <c r="F64" s="31">
        <v>0</v>
      </c>
      <c r="G64" s="40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9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2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9">
        <v>0</v>
      </c>
      <c r="AF64" s="32">
        <v>0</v>
      </c>
      <c r="AG64" s="28">
        <v>0</v>
      </c>
      <c r="AH64" s="28">
        <v>0</v>
      </c>
      <c r="AI64" s="28">
        <v>0</v>
      </c>
      <c r="AJ64" s="28">
        <v>0</v>
      </c>
      <c r="AK64" s="29">
        <v>0</v>
      </c>
      <c r="AL64" s="32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9">
        <v>0</v>
      </c>
      <c r="AT64" s="32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9">
        <v>0</v>
      </c>
      <c r="BE64" s="32">
        <v>0</v>
      </c>
      <c r="BF64" s="28">
        <v>0</v>
      </c>
      <c r="BG64" s="29">
        <v>0</v>
      </c>
      <c r="BH64" s="33">
        <v>0</v>
      </c>
      <c r="BI64" s="33">
        <v>0</v>
      </c>
      <c r="BJ64" s="33">
        <v>0</v>
      </c>
    </row>
    <row r="65" spans="1:62" ht="39" customHeight="1" x14ac:dyDescent="0.35">
      <c r="A65" s="1"/>
      <c r="B65" s="1"/>
      <c r="C65" s="1"/>
      <c r="D65" s="1"/>
      <c r="E65" s="12" t="s">
        <v>232</v>
      </c>
      <c r="F65" s="31">
        <v>0</v>
      </c>
      <c r="G65" s="40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9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2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9">
        <v>0</v>
      </c>
      <c r="AF65" s="32">
        <v>0</v>
      </c>
      <c r="AG65" s="28">
        <v>0</v>
      </c>
      <c r="AH65" s="28">
        <v>0</v>
      </c>
      <c r="AI65" s="28">
        <v>0</v>
      </c>
      <c r="AJ65" s="28">
        <v>0</v>
      </c>
      <c r="AK65" s="29">
        <v>0</v>
      </c>
      <c r="AL65" s="32">
        <v>0</v>
      </c>
      <c r="AM65" s="28">
        <v>0</v>
      </c>
      <c r="AN65" s="28">
        <v>0</v>
      </c>
      <c r="AO65" s="28">
        <v>0</v>
      </c>
      <c r="AP65" s="28">
        <v>0</v>
      </c>
      <c r="AQ65" s="28">
        <v>0</v>
      </c>
      <c r="AR65" s="28">
        <v>0</v>
      </c>
      <c r="AS65" s="29">
        <v>0</v>
      </c>
      <c r="AT65" s="32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9">
        <v>0</v>
      </c>
      <c r="BE65" s="32">
        <v>0</v>
      </c>
      <c r="BF65" s="28">
        <v>0</v>
      </c>
      <c r="BG65" s="29">
        <v>0</v>
      </c>
      <c r="BH65" s="33">
        <v>0</v>
      </c>
      <c r="BI65" s="33">
        <v>0</v>
      </c>
      <c r="BJ65" s="33">
        <v>0</v>
      </c>
    </row>
    <row r="66" spans="1:62" ht="39" customHeight="1" x14ac:dyDescent="0.35">
      <c r="A66" s="1"/>
      <c r="B66" s="1"/>
      <c r="C66" s="1"/>
      <c r="D66" s="1"/>
      <c r="E66" s="12" t="s">
        <v>233</v>
      </c>
      <c r="F66" s="31">
        <v>0</v>
      </c>
      <c r="G66" s="40">
        <v>0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9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2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9">
        <v>0</v>
      </c>
      <c r="AF66" s="32">
        <v>0</v>
      </c>
      <c r="AG66" s="28">
        <v>0</v>
      </c>
      <c r="AH66" s="28">
        <v>0</v>
      </c>
      <c r="AI66" s="28">
        <v>0</v>
      </c>
      <c r="AJ66" s="28">
        <v>0</v>
      </c>
      <c r="AK66" s="29">
        <v>0</v>
      </c>
      <c r="AL66" s="32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9">
        <v>0</v>
      </c>
      <c r="AT66" s="32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9">
        <v>0</v>
      </c>
      <c r="BE66" s="32">
        <v>0</v>
      </c>
      <c r="BF66" s="28">
        <v>0</v>
      </c>
      <c r="BG66" s="29">
        <v>0</v>
      </c>
      <c r="BH66" s="33">
        <v>0</v>
      </c>
      <c r="BI66" s="33">
        <v>0</v>
      </c>
      <c r="BJ66" s="33">
        <v>0</v>
      </c>
    </row>
    <row r="67" spans="1:62" ht="39" customHeight="1" x14ac:dyDescent="0.35">
      <c r="A67" s="1"/>
      <c r="B67" s="1"/>
      <c r="C67" s="1"/>
      <c r="D67" s="1"/>
      <c r="E67" s="12" t="s">
        <v>234</v>
      </c>
      <c r="F67" s="31">
        <v>0</v>
      </c>
      <c r="G67" s="40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9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2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9">
        <v>0</v>
      </c>
      <c r="AF67" s="32">
        <v>0</v>
      </c>
      <c r="AG67" s="28">
        <v>0</v>
      </c>
      <c r="AH67" s="28">
        <v>0</v>
      </c>
      <c r="AI67" s="28">
        <v>0</v>
      </c>
      <c r="AJ67" s="28">
        <v>0</v>
      </c>
      <c r="AK67" s="29">
        <v>0</v>
      </c>
      <c r="AL67" s="32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9">
        <v>0</v>
      </c>
      <c r="AT67" s="32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9">
        <v>0</v>
      </c>
      <c r="BE67" s="32">
        <v>0</v>
      </c>
      <c r="BF67" s="28">
        <v>0</v>
      </c>
      <c r="BG67" s="29">
        <v>0</v>
      </c>
      <c r="BH67" s="33">
        <v>0</v>
      </c>
      <c r="BI67" s="33">
        <v>0</v>
      </c>
      <c r="BJ67" s="33">
        <v>0</v>
      </c>
    </row>
    <row r="68" spans="1:62" ht="39" customHeight="1" x14ac:dyDescent="0.35">
      <c r="A68" s="1"/>
      <c r="B68" s="1"/>
      <c r="C68" s="1"/>
      <c r="D68" s="1"/>
      <c r="E68" s="12" t="s">
        <v>235</v>
      </c>
      <c r="F68" s="31">
        <v>0</v>
      </c>
      <c r="G68" s="40">
        <v>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9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2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9">
        <v>0</v>
      </c>
      <c r="AF68" s="32">
        <v>0</v>
      </c>
      <c r="AG68" s="28">
        <v>0</v>
      </c>
      <c r="AH68" s="28">
        <v>0</v>
      </c>
      <c r="AI68" s="28">
        <v>0</v>
      </c>
      <c r="AJ68" s="28">
        <v>0</v>
      </c>
      <c r="AK68" s="29">
        <v>0</v>
      </c>
      <c r="AL68" s="32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9">
        <v>0</v>
      </c>
      <c r="AT68" s="32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9">
        <v>0</v>
      </c>
      <c r="BE68" s="32">
        <v>0</v>
      </c>
      <c r="BF68" s="28">
        <v>0</v>
      </c>
      <c r="BG68" s="29">
        <v>0</v>
      </c>
      <c r="BH68" s="33">
        <v>0</v>
      </c>
      <c r="BI68" s="33">
        <v>0</v>
      </c>
      <c r="BJ68" s="33">
        <v>0</v>
      </c>
    </row>
    <row r="69" spans="1:62" ht="39" customHeight="1" x14ac:dyDescent="0.35">
      <c r="A69" s="1"/>
      <c r="B69" s="1"/>
      <c r="C69" s="1"/>
      <c r="D69" s="1"/>
      <c r="E69" s="12" t="s">
        <v>236</v>
      </c>
      <c r="F69" s="31">
        <v>0</v>
      </c>
      <c r="G69" s="40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9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2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9">
        <v>0</v>
      </c>
      <c r="AF69" s="32">
        <v>0</v>
      </c>
      <c r="AG69" s="28">
        <v>0</v>
      </c>
      <c r="AH69" s="28">
        <v>0</v>
      </c>
      <c r="AI69" s="28">
        <v>0</v>
      </c>
      <c r="AJ69" s="28">
        <v>0</v>
      </c>
      <c r="AK69" s="29">
        <v>0</v>
      </c>
      <c r="AL69" s="32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9">
        <v>0</v>
      </c>
      <c r="AT69" s="32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9">
        <v>0</v>
      </c>
      <c r="BE69" s="32">
        <v>0</v>
      </c>
      <c r="BF69" s="28">
        <v>0</v>
      </c>
      <c r="BG69" s="29">
        <v>0</v>
      </c>
      <c r="BH69" s="33">
        <v>0</v>
      </c>
      <c r="BI69" s="33">
        <v>0</v>
      </c>
      <c r="BJ69" s="33">
        <v>0</v>
      </c>
    </row>
    <row r="70" spans="1:62" ht="39" customHeight="1" x14ac:dyDescent="0.35">
      <c r="A70" s="1"/>
      <c r="B70" s="1"/>
      <c r="C70" s="1"/>
      <c r="D70" s="1"/>
      <c r="E70" s="12" t="s">
        <v>237</v>
      </c>
      <c r="F70" s="31">
        <v>0</v>
      </c>
      <c r="G70" s="40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9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2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9">
        <v>0</v>
      </c>
      <c r="AF70" s="32">
        <v>0</v>
      </c>
      <c r="AG70" s="28">
        <v>0</v>
      </c>
      <c r="AH70" s="28">
        <v>0</v>
      </c>
      <c r="AI70" s="28">
        <v>0</v>
      </c>
      <c r="AJ70" s="28">
        <v>0</v>
      </c>
      <c r="AK70" s="29">
        <v>0</v>
      </c>
      <c r="AL70" s="32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9">
        <v>0</v>
      </c>
      <c r="AT70" s="32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9">
        <v>0</v>
      </c>
      <c r="BE70" s="32">
        <v>0</v>
      </c>
      <c r="BF70" s="28">
        <v>0</v>
      </c>
      <c r="BG70" s="29">
        <v>0</v>
      </c>
      <c r="BH70" s="33">
        <v>0</v>
      </c>
      <c r="BI70" s="33">
        <v>0</v>
      </c>
      <c r="BJ70" s="33">
        <v>0</v>
      </c>
    </row>
    <row r="71" spans="1:62" ht="39" customHeight="1" x14ac:dyDescent="0.35">
      <c r="A71" s="1"/>
      <c r="B71" s="1"/>
      <c r="C71" s="1"/>
      <c r="D71" s="1"/>
      <c r="E71" s="12" t="s">
        <v>238</v>
      </c>
      <c r="F71" s="31">
        <v>0</v>
      </c>
      <c r="G71" s="40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9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2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9">
        <v>0</v>
      </c>
      <c r="AF71" s="32">
        <v>0</v>
      </c>
      <c r="AG71" s="28">
        <v>0</v>
      </c>
      <c r="AH71" s="28">
        <v>0</v>
      </c>
      <c r="AI71" s="28">
        <v>0</v>
      </c>
      <c r="AJ71" s="28">
        <v>0</v>
      </c>
      <c r="AK71" s="29">
        <v>0</v>
      </c>
      <c r="AL71" s="32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0</v>
      </c>
      <c r="AR71" s="28">
        <v>0</v>
      </c>
      <c r="AS71" s="29">
        <v>0</v>
      </c>
      <c r="AT71" s="32">
        <v>0</v>
      </c>
      <c r="AU71" s="28">
        <v>0</v>
      </c>
      <c r="AV71" s="28">
        <v>0</v>
      </c>
      <c r="AW71" s="28">
        <v>0</v>
      </c>
      <c r="AX71" s="28">
        <v>0</v>
      </c>
      <c r="AY71" s="28">
        <v>0</v>
      </c>
      <c r="AZ71" s="28">
        <v>0</v>
      </c>
      <c r="BA71" s="28">
        <v>0</v>
      </c>
      <c r="BB71" s="28">
        <v>0</v>
      </c>
      <c r="BC71" s="28">
        <v>0</v>
      </c>
      <c r="BD71" s="29">
        <v>0</v>
      </c>
      <c r="BE71" s="32">
        <v>0</v>
      </c>
      <c r="BF71" s="28">
        <v>0</v>
      </c>
      <c r="BG71" s="29">
        <v>0</v>
      </c>
      <c r="BH71" s="33">
        <v>0</v>
      </c>
      <c r="BI71" s="33">
        <v>0</v>
      </c>
      <c r="BJ71" s="33">
        <v>0</v>
      </c>
    </row>
    <row r="72" spans="1:62" ht="39" customHeight="1" x14ac:dyDescent="0.35">
      <c r="A72" s="1"/>
      <c r="B72" s="1"/>
      <c r="C72" s="1"/>
      <c r="D72" s="1"/>
      <c r="E72" s="12" t="s">
        <v>239</v>
      </c>
      <c r="F72" s="31">
        <v>0</v>
      </c>
      <c r="G72" s="40">
        <v>0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39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2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9">
        <v>0</v>
      </c>
      <c r="AF72" s="32">
        <v>0</v>
      </c>
      <c r="AG72" s="28">
        <v>0</v>
      </c>
      <c r="AH72" s="28">
        <v>0</v>
      </c>
      <c r="AI72" s="28">
        <v>0</v>
      </c>
      <c r="AJ72" s="28">
        <v>0</v>
      </c>
      <c r="AK72" s="29">
        <v>0</v>
      </c>
      <c r="AL72" s="32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9">
        <v>0</v>
      </c>
      <c r="AT72" s="32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9">
        <v>0</v>
      </c>
      <c r="BE72" s="32">
        <v>0</v>
      </c>
      <c r="BF72" s="28">
        <v>0</v>
      </c>
      <c r="BG72" s="29">
        <v>0</v>
      </c>
      <c r="BH72" s="33">
        <v>0</v>
      </c>
      <c r="BI72" s="33">
        <v>0</v>
      </c>
      <c r="BJ72" s="33">
        <v>0</v>
      </c>
    </row>
    <row r="73" spans="1:62" ht="39" customHeight="1" x14ac:dyDescent="0.35">
      <c r="A73" s="1"/>
      <c r="B73" s="1"/>
      <c r="C73" s="1"/>
      <c r="D73" s="1"/>
      <c r="E73" s="12" t="s">
        <v>240</v>
      </c>
      <c r="F73" s="31">
        <v>0</v>
      </c>
      <c r="G73" s="40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9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2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9">
        <v>0</v>
      </c>
      <c r="AF73" s="32">
        <v>0</v>
      </c>
      <c r="AG73" s="28">
        <v>0</v>
      </c>
      <c r="AH73" s="28">
        <v>0</v>
      </c>
      <c r="AI73" s="28">
        <v>0</v>
      </c>
      <c r="AJ73" s="28">
        <v>0</v>
      </c>
      <c r="AK73" s="29">
        <v>0</v>
      </c>
      <c r="AL73" s="32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9">
        <v>0</v>
      </c>
      <c r="AT73" s="32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9">
        <v>0</v>
      </c>
      <c r="BE73" s="32">
        <v>0</v>
      </c>
      <c r="BF73" s="28">
        <v>0</v>
      </c>
      <c r="BG73" s="29">
        <v>0</v>
      </c>
      <c r="BH73" s="33">
        <v>0</v>
      </c>
      <c r="BI73" s="33">
        <v>0</v>
      </c>
      <c r="BJ73" s="33">
        <v>0</v>
      </c>
    </row>
    <row r="74" spans="1:62" ht="39" customHeight="1" x14ac:dyDescent="0.35">
      <c r="A74" s="1"/>
      <c r="B74" s="1"/>
      <c r="C74" s="1"/>
      <c r="D74" s="1"/>
      <c r="E74" s="12" t="s">
        <v>241</v>
      </c>
      <c r="F74" s="31">
        <v>0</v>
      </c>
      <c r="G74" s="40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9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2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9">
        <v>0</v>
      </c>
      <c r="AF74" s="32">
        <v>0</v>
      </c>
      <c r="AG74" s="28">
        <v>0</v>
      </c>
      <c r="AH74" s="28">
        <v>0</v>
      </c>
      <c r="AI74" s="28">
        <v>0</v>
      </c>
      <c r="AJ74" s="28">
        <v>0</v>
      </c>
      <c r="AK74" s="29">
        <v>0</v>
      </c>
      <c r="AL74" s="32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28">
        <v>0</v>
      </c>
      <c r="AS74" s="29">
        <v>0</v>
      </c>
      <c r="AT74" s="32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9">
        <v>0</v>
      </c>
      <c r="BE74" s="32">
        <v>0</v>
      </c>
      <c r="BF74" s="28">
        <v>0</v>
      </c>
      <c r="BG74" s="29">
        <v>0</v>
      </c>
      <c r="BH74" s="33">
        <v>0</v>
      </c>
      <c r="BI74" s="33">
        <v>0</v>
      </c>
      <c r="BJ74" s="33">
        <v>0</v>
      </c>
    </row>
    <row r="75" spans="1:62" ht="39" customHeight="1" x14ac:dyDescent="0.35">
      <c r="A75" s="1"/>
      <c r="B75" s="1"/>
      <c r="C75" s="1"/>
      <c r="D75" s="1"/>
      <c r="E75" s="12" t="s">
        <v>242</v>
      </c>
      <c r="F75" s="31">
        <v>0</v>
      </c>
      <c r="G75" s="40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9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2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9">
        <v>0</v>
      </c>
      <c r="AF75" s="32">
        <v>0</v>
      </c>
      <c r="AG75" s="28">
        <v>0</v>
      </c>
      <c r="AH75" s="28">
        <v>0</v>
      </c>
      <c r="AI75" s="28">
        <v>0</v>
      </c>
      <c r="AJ75" s="28">
        <v>0</v>
      </c>
      <c r="AK75" s="29">
        <v>0</v>
      </c>
      <c r="AL75" s="32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9">
        <v>0</v>
      </c>
      <c r="AT75" s="32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9">
        <v>0</v>
      </c>
      <c r="BE75" s="32">
        <v>0</v>
      </c>
      <c r="BF75" s="28">
        <v>0</v>
      </c>
      <c r="BG75" s="29">
        <v>0</v>
      </c>
      <c r="BH75" s="33">
        <v>0</v>
      </c>
      <c r="BI75" s="33">
        <v>0</v>
      </c>
      <c r="BJ75" s="33">
        <v>0</v>
      </c>
    </row>
    <row r="76" spans="1:62" ht="39" customHeight="1" x14ac:dyDescent="0.35">
      <c r="A76" s="1"/>
      <c r="B76" s="1"/>
      <c r="C76" s="1"/>
      <c r="D76" s="1"/>
      <c r="E76" s="12" t="s">
        <v>243</v>
      </c>
      <c r="F76" s="31">
        <v>0</v>
      </c>
      <c r="G76" s="40">
        <v>0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9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2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9">
        <v>0</v>
      </c>
      <c r="AF76" s="32">
        <v>0</v>
      </c>
      <c r="AG76" s="28">
        <v>0</v>
      </c>
      <c r="AH76" s="28">
        <v>0</v>
      </c>
      <c r="AI76" s="28">
        <v>0</v>
      </c>
      <c r="AJ76" s="28">
        <v>0</v>
      </c>
      <c r="AK76" s="29">
        <v>0</v>
      </c>
      <c r="AL76" s="32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9">
        <v>0</v>
      </c>
      <c r="AT76" s="32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9">
        <v>0</v>
      </c>
      <c r="BE76" s="32">
        <v>0</v>
      </c>
      <c r="BF76" s="28">
        <v>0</v>
      </c>
      <c r="BG76" s="29">
        <v>0</v>
      </c>
      <c r="BH76" s="33">
        <v>0</v>
      </c>
      <c r="BI76" s="33">
        <v>0</v>
      </c>
      <c r="BJ76" s="33">
        <v>0</v>
      </c>
    </row>
    <row r="77" spans="1:62" ht="39" customHeight="1" x14ac:dyDescent="0.35">
      <c r="A77" s="1"/>
      <c r="B77" s="1"/>
      <c r="C77" s="1"/>
      <c r="D77" s="1"/>
      <c r="E77" s="12" t="s">
        <v>244</v>
      </c>
      <c r="F77" s="31">
        <v>0</v>
      </c>
      <c r="G77" s="40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9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2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9">
        <v>0</v>
      </c>
      <c r="AF77" s="32">
        <v>0</v>
      </c>
      <c r="AG77" s="28">
        <v>0</v>
      </c>
      <c r="AH77" s="28">
        <v>0</v>
      </c>
      <c r="AI77" s="28">
        <v>0</v>
      </c>
      <c r="AJ77" s="28">
        <v>0</v>
      </c>
      <c r="AK77" s="29">
        <v>0</v>
      </c>
      <c r="AL77" s="32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9">
        <v>0</v>
      </c>
      <c r="AT77" s="32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9">
        <v>0</v>
      </c>
      <c r="BE77" s="32">
        <v>0</v>
      </c>
      <c r="BF77" s="28">
        <v>0</v>
      </c>
      <c r="BG77" s="29">
        <v>0</v>
      </c>
      <c r="BH77" s="33">
        <v>0</v>
      </c>
      <c r="BI77" s="33">
        <v>0</v>
      </c>
      <c r="BJ77" s="33">
        <v>0</v>
      </c>
    </row>
    <row r="78" spans="1:62" ht="39" customHeight="1" x14ac:dyDescent="0.35">
      <c r="A78" s="1"/>
      <c r="B78" s="1"/>
      <c r="C78" s="1"/>
      <c r="D78" s="1"/>
      <c r="E78" s="12" t="s">
        <v>245</v>
      </c>
      <c r="F78" s="31">
        <v>0</v>
      </c>
      <c r="G78" s="40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9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2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9">
        <v>0</v>
      </c>
      <c r="AF78" s="32">
        <v>0</v>
      </c>
      <c r="AG78" s="28">
        <v>0</v>
      </c>
      <c r="AH78" s="28">
        <v>0</v>
      </c>
      <c r="AI78" s="28">
        <v>0</v>
      </c>
      <c r="AJ78" s="28">
        <v>0</v>
      </c>
      <c r="AK78" s="29">
        <v>0</v>
      </c>
      <c r="AL78" s="32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9">
        <v>0</v>
      </c>
      <c r="AT78" s="32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9">
        <v>0</v>
      </c>
      <c r="BE78" s="32">
        <v>0</v>
      </c>
      <c r="BF78" s="28">
        <v>0</v>
      </c>
      <c r="BG78" s="29">
        <v>0</v>
      </c>
      <c r="BH78" s="33">
        <v>0</v>
      </c>
      <c r="BI78" s="33">
        <v>0</v>
      </c>
      <c r="BJ78" s="33">
        <v>0</v>
      </c>
    </row>
    <row r="79" spans="1:62" ht="39" customHeight="1" x14ac:dyDescent="0.35">
      <c r="A79" s="1"/>
      <c r="B79" s="1"/>
      <c r="C79" s="1"/>
      <c r="D79" s="1"/>
      <c r="E79" s="12" t="s">
        <v>246</v>
      </c>
      <c r="F79" s="31">
        <v>0</v>
      </c>
      <c r="G79" s="40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9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2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9">
        <v>0</v>
      </c>
      <c r="AF79" s="32">
        <v>0</v>
      </c>
      <c r="AG79" s="28">
        <v>0</v>
      </c>
      <c r="AH79" s="28">
        <v>0</v>
      </c>
      <c r="AI79" s="28">
        <v>0</v>
      </c>
      <c r="AJ79" s="28">
        <v>0</v>
      </c>
      <c r="AK79" s="29">
        <v>0</v>
      </c>
      <c r="AL79" s="32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9">
        <v>0</v>
      </c>
      <c r="AT79" s="32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9">
        <v>0</v>
      </c>
      <c r="BE79" s="32">
        <v>0</v>
      </c>
      <c r="BF79" s="28">
        <v>0</v>
      </c>
      <c r="BG79" s="29">
        <v>0</v>
      </c>
      <c r="BH79" s="33">
        <v>0</v>
      </c>
      <c r="BI79" s="33">
        <v>0</v>
      </c>
      <c r="BJ79" s="33">
        <v>0</v>
      </c>
    </row>
    <row r="80" spans="1:62" ht="39" customHeight="1" x14ac:dyDescent="0.35">
      <c r="A80" s="1"/>
      <c r="B80" s="1"/>
      <c r="C80" s="1"/>
      <c r="D80" s="1"/>
      <c r="E80" s="12" t="s">
        <v>247</v>
      </c>
      <c r="F80" s="31">
        <v>0</v>
      </c>
      <c r="G80" s="40">
        <v>0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9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2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9">
        <v>0</v>
      </c>
      <c r="AF80" s="32">
        <v>0</v>
      </c>
      <c r="AG80" s="28">
        <v>0</v>
      </c>
      <c r="AH80" s="28">
        <v>0</v>
      </c>
      <c r="AI80" s="28">
        <v>0</v>
      </c>
      <c r="AJ80" s="28">
        <v>0</v>
      </c>
      <c r="AK80" s="29">
        <v>0</v>
      </c>
      <c r="AL80" s="32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9">
        <v>0</v>
      </c>
      <c r="AT80" s="32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9">
        <v>0</v>
      </c>
      <c r="BE80" s="32">
        <v>0</v>
      </c>
      <c r="BF80" s="28">
        <v>0</v>
      </c>
      <c r="BG80" s="29">
        <v>0</v>
      </c>
      <c r="BH80" s="33">
        <v>0</v>
      </c>
      <c r="BI80" s="33">
        <v>0</v>
      </c>
      <c r="BJ80" s="33">
        <v>0</v>
      </c>
    </row>
    <row r="81" spans="1:62" ht="39" customHeight="1" x14ac:dyDescent="0.35">
      <c r="A81" s="1"/>
      <c r="B81" s="1"/>
      <c r="C81" s="1"/>
      <c r="D81" s="1"/>
      <c r="E81" s="12" t="s">
        <v>248</v>
      </c>
      <c r="F81" s="31">
        <v>0</v>
      </c>
      <c r="G81" s="40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9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2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9">
        <v>0</v>
      </c>
      <c r="AF81" s="32">
        <v>0</v>
      </c>
      <c r="AG81" s="28">
        <v>0</v>
      </c>
      <c r="AH81" s="28">
        <v>0</v>
      </c>
      <c r="AI81" s="28">
        <v>0</v>
      </c>
      <c r="AJ81" s="28">
        <v>0</v>
      </c>
      <c r="AK81" s="29">
        <v>0</v>
      </c>
      <c r="AL81" s="32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9">
        <v>0</v>
      </c>
      <c r="AT81" s="32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9">
        <v>0</v>
      </c>
      <c r="BE81" s="32">
        <v>0</v>
      </c>
      <c r="BF81" s="28">
        <v>0</v>
      </c>
      <c r="BG81" s="29">
        <v>0</v>
      </c>
      <c r="BH81" s="33">
        <v>0</v>
      </c>
      <c r="BI81" s="33">
        <v>0</v>
      </c>
      <c r="BJ81" s="33">
        <v>0</v>
      </c>
    </row>
    <row r="82" spans="1:62" ht="39" customHeight="1" x14ac:dyDescent="0.35">
      <c r="A82" s="1"/>
      <c r="B82" s="1"/>
      <c r="C82" s="1"/>
      <c r="D82" s="1"/>
      <c r="E82" s="12" t="s">
        <v>249</v>
      </c>
      <c r="F82" s="31">
        <v>0</v>
      </c>
      <c r="G82" s="40">
        <v>0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9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2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9">
        <v>0</v>
      </c>
      <c r="AF82" s="32">
        <v>0</v>
      </c>
      <c r="AG82" s="28">
        <v>0</v>
      </c>
      <c r="AH82" s="28">
        <v>0</v>
      </c>
      <c r="AI82" s="28">
        <v>0</v>
      </c>
      <c r="AJ82" s="28">
        <v>0</v>
      </c>
      <c r="AK82" s="29">
        <v>0</v>
      </c>
      <c r="AL82" s="32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9">
        <v>0</v>
      </c>
      <c r="AT82" s="32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9">
        <v>0</v>
      </c>
      <c r="BE82" s="32">
        <v>0</v>
      </c>
      <c r="BF82" s="28">
        <v>0</v>
      </c>
      <c r="BG82" s="29">
        <v>0</v>
      </c>
      <c r="BH82" s="33">
        <v>0</v>
      </c>
      <c r="BI82" s="33">
        <v>0</v>
      </c>
      <c r="BJ82" s="33">
        <v>0</v>
      </c>
    </row>
    <row r="83" spans="1:62" ht="39" customHeight="1" x14ac:dyDescent="0.35">
      <c r="A83" s="1"/>
      <c r="B83" s="1"/>
      <c r="C83" s="1"/>
      <c r="D83" s="1"/>
      <c r="E83" s="12" t="s">
        <v>250</v>
      </c>
      <c r="F83" s="31">
        <v>0</v>
      </c>
      <c r="G83" s="40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9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2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9">
        <v>0</v>
      </c>
      <c r="AF83" s="32">
        <v>0</v>
      </c>
      <c r="AG83" s="28">
        <v>0</v>
      </c>
      <c r="AH83" s="28">
        <v>0</v>
      </c>
      <c r="AI83" s="28">
        <v>0</v>
      </c>
      <c r="AJ83" s="28">
        <v>0</v>
      </c>
      <c r="AK83" s="29">
        <v>0</v>
      </c>
      <c r="AL83" s="32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9">
        <v>0</v>
      </c>
      <c r="AT83" s="32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9">
        <v>0</v>
      </c>
      <c r="BE83" s="32">
        <v>0</v>
      </c>
      <c r="BF83" s="28">
        <v>0</v>
      </c>
      <c r="BG83" s="29">
        <v>0</v>
      </c>
      <c r="BH83" s="33">
        <v>0</v>
      </c>
      <c r="BI83" s="33">
        <v>0</v>
      </c>
      <c r="BJ83" s="33">
        <v>0</v>
      </c>
    </row>
    <row r="84" spans="1:62" ht="39" customHeight="1" x14ac:dyDescent="0.35">
      <c r="A84" s="1"/>
      <c r="B84" s="1"/>
      <c r="C84" s="1"/>
      <c r="D84" s="1"/>
      <c r="E84" s="12" t="s">
        <v>251</v>
      </c>
      <c r="F84" s="31">
        <v>0</v>
      </c>
      <c r="G84" s="40">
        <v>0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9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2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9">
        <v>0</v>
      </c>
      <c r="AF84" s="32">
        <v>0</v>
      </c>
      <c r="AG84" s="28">
        <v>0</v>
      </c>
      <c r="AH84" s="28">
        <v>0</v>
      </c>
      <c r="AI84" s="28">
        <v>0</v>
      </c>
      <c r="AJ84" s="28">
        <v>0</v>
      </c>
      <c r="AK84" s="29">
        <v>0</v>
      </c>
      <c r="AL84" s="32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9">
        <v>0</v>
      </c>
      <c r="AT84" s="32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9">
        <v>0</v>
      </c>
      <c r="BE84" s="32">
        <v>0</v>
      </c>
      <c r="BF84" s="28">
        <v>0</v>
      </c>
      <c r="BG84" s="29">
        <v>0</v>
      </c>
      <c r="BH84" s="33">
        <v>0</v>
      </c>
      <c r="BI84" s="33">
        <v>0</v>
      </c>
      <c r="BJ84" s="33">
        <v>0</v>
      </c>
    </row>
    <row r="85" spans="1:62" ht="39" customHeight="1" x14ac:dyDescent="0.35">
      <c r="A85" s="1"/>
      <c r="B85" s="1"/>
      <c r="C85" s="1"/>
      <c r="D85" s="1"/>
      <c r="E85" s="12" t="s">
        <v>252</v>
      </c>
      <c r="F85" s="31">
        <v>0</v>
      </c>
      <c r="G85" s="40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9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2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9">
        <v>0</v>
      </c>
      <c r="AF85" s="32">
        <v>0</v>
      </c>
      <c r="AG85" s="28">
        <v>0</v>
      </c>
      <c r="AH85" s="28">
        <v>0</v>
      </c>
      <c r="AI85" s="28">
        <v>0</v>
      </c>
      <c r="AJ85" s="28">
        <v>0</v>
      </c>
      <c r="AK85" s="29">
        <v>0</v>
      </c>
      <c r="AL85" s="32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9">
        <v>0</v>
      </c>
      <c r="AT85" s="32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9">
        <v>0</v>
      </c>
      <c r="BE85" s="32">
        <v>0</v>
      </c>
      <c r="BF85" s="28">
        <v>0</v>
      </c>
      <c r="BG85" s="29">
        <v>0</v>
      </c>
      <c r="BH85" s="33">
        <v>0</v>
      </c>
      <c r="BI85" s="33">
        <v>0</v>
      </c>
      <c r="BJ85" s="33">
        <v>0</v>
      </c>
    </row>
    <row r="86" spans="1:62" ht="39" customHeight="1" x14ac:dyDescent="0.35">
      <c r="A86" s="1"/>
      <c r="B86" s="1"/>
      <c r="C86" s="1"/>
      <c r="D86" s="1"/>
      <c r="E86" s="12" t="s">
        <v>253</v>
      </c>
      <c r="F86" s="31">
        <v>0</v>
      </c>
      <c r="G86" s="40">
        <v>0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9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2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9">
        <v>0</v>
      </c>
      <c r="AF86" s="32">
        <v>0</v>
      </c>
      <c r="AG86" s="28">
        <v>0</v>
      </c>
      <c r="AH86" s="28">
        <v>0</v>
      </c>
      <c r="AI86" s="28">
        <v>0</v>
      </c>
      <c r="AJ86" s="28">
        <v>0</v>
      </c>
      <c r="AK86" s="29">
        <v>0</v>
      </c>
      <c r="AL86" s="32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9">
        <v>0</v>
      </c>
      <c r="AT86" s="32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9">
        <v>0</v>
      </c>
      <c r="BE86" s="32">
        <v>0</v>
      </c>
      <c r="BF86" s="28">
        <v>0</v>
      </c>
      <c r="BG86" s="29">
        <v>0</v>
      </c>
      <c r="BH86" s="33">
        <v>0</v>
      </c>
      <c r="BI86" s="33">
        <v>0</v>
      </c>
      <c r="BJ86" s="33">
        <v>0</v>
      </c>
    </row>
    <row r="87" spans="1:62" ht="39" customHeight="1" x14ac:dyDescent="0.35">
      <c r="A87" s="1"/>
      <c r="B87" s="1"/>
      <c r="C87" s="1"/>
      <c r="D87" s="1"/>
      <c r="E87" s="12" t="s">
        <v>254</v>
      </c>
      <c r="F87" s="31">
        <v>0</v>
      </c>
      <c r="G87" s="40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9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2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9">
        <v>0</v>
      </c>
      <c r="AF87" s="32">
        <v>0</v>
      </c>
      <c r="AG87" s="28">
        <v>0</v>
      </c>
      <c r="AH87" s="28">
        <v>0</v>
      </c>
      <c r="AI87" s="28">
        <v>0</v>
      </c>
      <c r="AJ87" s="28">
        <v>0</v>
      </c>
      <c r="AK87" s="29">
        <v>0</v>
      </c>
      <c r="AL87" s="32">
        <v>0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0</v>
      </c>
      <c r="AS87" s="29">
        <v>0</v>
      </c>
      <c r="AT87" s="32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0</v>
      </c>
      <c r="BC87" s="28">
        <v>0</v>
      </c>
      <c r="BD87" s="29">
        <v>0</v>
      </c>
      <c r="BE87" s="32">
        <v>0</v>
      </c>
      <c r="BF87" s="28">
        <v>0</v>
      </c>
      <c r="BG87" s="29">
        <v>0</v>
      </c>
      <c r="BH87" s="33">
        <v>0</v>
      </c>
      <c r="BI87" s="33">
        <v>0</v>
      </c>
      <c r="BJ87" s="33">
        <v>0</v>
      </c>
    </row>
    <row r="88" spans="1:62" ht="39" customHeight="1" x14ac:dyDescent="0.35">
      <c r="A88" s="1"/>
      <c r="B88" s="1"/>
      <c r="C88" s="1"/>
      <c r="D88" s="1"/>
      <c r="E88" s="12" t="s">
        <v>255</v>
      </c>
      <c r="F88" s="31">
        <v>0</v>
      </c>
      <c r="G88" s="40">
        <v>0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9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2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9">
        <v>0</v>
      </c>
      <c r="AF88" s="32">
        <v>0</v>
      </c>
      <c r="AG88" s="28">
        <v>0</v>
      </c>
      <c r="AH88" s="28">
        <v>0</v>
      </c>
      <c r="AI88" s="28">
        <v>0</v>
      </c>
      <c r="AJ88" s="28">
        <v>0</v>
      </c>
      <c r="AK88" s="29">
        <v>0</v>
      </c>
      <c r="AL88" s="32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9">
        <v>0</v>
      </c>
      <c r="AT88" s="32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9">
        <v>0</v>
      </c>
      <c r="BE88" s="32">
        <v>0</v>
      </c>
      <c r="BF88" s="28">
        <v>0</v>
      </c>
      <c r="BG88" s="29">
        <v>0</v>
      </c>
      <c r="BH88" s="33">
        <v>0</v>
      </c>
      <c r="BI88" s="33">
        <v>0</v>
      </c>
      <c r="BJ88" s="33">
        <v>0</v>
      </c>
    </row>
    <row r="89" spans="1:62" ht="39" customHeight="1" x14ac:dyDescent="0.35">
      <c r="A89" s="1"/>
      <c r="B89" s="1"/>
      <c r="C89" s="1"/>
      <c r="D89" s="1"/>
      <c r="E89" s="12" t="s">
        <v>256</v>
      </c>
      <c r="F89" s="31">
        <v>0</v>
      </c>
      <c r="G89" s="40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9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2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9">
        <v>0</v>
      </c>
      <c r="AF89" s="32">
        <v>0</v>
      </c>
      <c r="AG89" s="28">
        <v>0</v>
      </c>
      <c r="AH89" s="28">
        <v>0</v>
      </c>
      <c r="AI89" s="28">
        <v>0</v>
      </c>
      <c r="AJ89" s="28">
        <v>0</v>
      </c>
      <c r="AK89" s="29">
        <v>0</v>
      </c>
      <c r="AL89" s="32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9">
        <v>0</v>
      </c>
      <c r="AT89" s="32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9">
        <v>0</v>
      </c>
      <c r="BE89" s="32">
        <v>0</v>
      </c>
      <c r="BF89" s="28">
        <v>0</v>
      </c>
      <c r="BG89" s="29">
        <v>0</v>
      </c>
      <c r="BH89" s="33">
        <v>0</v>
      </c>
      <c r="BI89" s="33">
        <v>0</v>
      </c>
      <c r="BJ89" s="33">
        <v>0</v>
      </c>
    </row>
    <row r="90" spans="1:62" ht="39" customHeight="1" x14ac:dyDescent="0.35">
      <c r="A90" s="1"/>
      <c r="B90" s="1"/>
      <c r="C90" s="1"/>
      <c r="D90" s="1"/>
      <c r="E90" s="12" t="s">
        <v>257</v>
      </c>
      <c r="F90" s="31">
        <v>0</v>
      </c>
      <c r="G90" s="40">
        <v>0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9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2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9">
        <v>0</v>
      </c>
      <c r="AF90" s="32">
        <v>0</v>
      </c>
      <c r="AG90" s="28">
        <v>0</v>
      </c>
      <c r="AH90" s="28">
        <v>0</v>
      </c>
      <c r="AI90" s="28">
        <v>0</v>
      </c>
      <c r="AJ90" s="28">
        <v>0</v>
      </c>
      <c r="AK90" s="29">
        <v>0</v>
      </c>
      <c r="AL90" s="32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9">
        <v>0</v>
      </c>
      <c r="AT90" s="32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9">
        <v>0</v>
      </c>
      <c r="BE90" s="32">
        <v>0</v>
      </c>
      <c r="BF90" s="28">
        <v>0</v>
      </c>
      <c r="BG90" s="29">
        <v>0</v>
      </c>
      <c r="BH90" s="33">
        <v>0</v>
      </c>
      <c r="BI90" s="33">
        <v>0</v>
      </c>
      <c r="BJ90" s="33">
        <v>0</v>
      </c>
    </row>
    <row r="91" spans="1:62" ht="39" customHeight="1" x14ac:dyDescent="0.35">
      <c r="A91" s="1"/>
      <c r="B91" s="1"/>
      <c r="C91" s="1"/>
      <c r="D91" s="1"/>
      <c r="E91" s="12" t="s">
        <v>258</v>
      </c>
      <c r="F91" s="31">
        <v>0</v>
      </c>
      <c r="G91" s="40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9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2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9">
        <v>0</v>
      </c>
      <c r="AF91" s="32">
        <v>0</v>
      </c>
      <c r="AG91" s="28">
        <v>0</v>
      </c>
      <c r="AH91" s="28">
        <v>0</v>
      </c>
      <c r="AI91" s="28">
        <v>0</v>
      </c>
      <c r="AJ91" s="28">
        <v>0</v>
      </c>
      <c r="AK91" s="29">
        <v>0</v>
      </c>
      <c r="AL91" s="32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9">
        <v>0</v>
      </c>
      <c r="AT91" s="32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9">
        <v>0</v>
      </c>
      <c r="BE91" s="32">
        <v>0</v>
      </c>
      <c r="BF91" s="28">
        <v>0</v>
      </c>
      <c r="BG91" s="29">
        <v>0</v>
      </c>
      <c r="BH91" s="33">
        <v>0</v>
      </c>
      <c r="BI91" s="33">
        <v>0</v>
      </c>
      <c r="BJ91" s="33">
        <v>0</v>
      </c>
    </row>
    <row r="92" spans="1:62" ht="39" customHeight="1" x14ac:dyDescent="0.35">
      <c r="A92" s="1"/>
      <c r="B92" s="1"/>
      <c r="C92" s="1"/>
      <c r="D92" s="1"/>
      <c r="E92" s="12" t="s">
        <v>259</v>
      </c>
      <c r="F92" s="31">
        <v>0</v>
      </c>
      <c r="G92" s="40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9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2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9">
        <v>0</v>
      </c>
      <c r="AF92" s="32">
        <v>0</v>
      </c>
      <c r="AG92" s="28">
        <v>0</v>
      </c>
      <c r="AH92" s="28">
        <v>0</v>
      </c>
      <c r="AI92" s="28">
        <v>0</v>
      </c>
      <c r="AJ92" s="28">
        <v>0</v>
      </c>
      <c r="AK92" s="29">
        <v>0</v>
      </c>
      <c r="AL92" s="32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9">
        <v>0</v>
      </c>
      <c r="AT92" s="32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9">
        <v>0</v>
      </c>
      <c r="BE92" s="32">
        <v>0</v>
      </c>
      <c r="BF92" s="28">
        <v>0</v>
      </c>
      <c r="BG92" s="29">
        <v>0</v>
      </c>
      <c r="BH92" s="33">
        <v>0</v>
      </c>
      <c r="BI92" s="33">
        <v>0</v>
      </c>
      <c r="BJ92" s="33">
        <v>0</v>
      </c>
    </row>
    <row r="93" spans="1:62" ht="39" customHeight="1" x14ac:dyDescent="0.35">
      <c r="A93" s="1"/>
      <c r="B93" s="1"/>
      <c r="C93" s="1"/>
      <c r="D93" s="1"/>
      <c r="E93" s="12" t="s">
        <v>260</v>
      </c>
      <c r="F93" s="31">
        <v>0</v>
      </c>
      <c r="G93" s="40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9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2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9">
        <v>0</v>
      </c>
      <c r="AF93" s="32">
        <v>0</v>
      </c>
      <c r="AG93" s="28">
        <v>0</v>
      </c>
      <c r="AH93" s="28">
        <v>0</v>
      </c>
      <c r="AI93" s="28">
        <v>0</v>
      </c>
      <c r="AJ93" s="28">
        <v>0</v>
      </c>
      <c r="AK93" s="29">
        <v>0</v>
      </c>
      <c r="AL93" s="32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9">
        <v>0</v>
      </c>
      <c r="AT93" s="32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9">
        <v>0</v>
      </c>
      <c r="BE93" s="32">
        <v>0</v>
      </c>
      <c r="BF93" s="28">
        <v>0</v>
      </c>
      <c r="BG93" s="29">
        <v>0</v>
      </c>
      <c r="BH93" s="33">
        <v>0</v>
      </c>
      <c r="BI93" s="33">
        <v>0</v>
      </c>
      <c r="BJ93" s="33">
        <v>0</v>
      </c>
    </row>
    <row r="94" spans="1:62" ht="39" customHeight="1" x14ac:dyDescent="0.35">
      <c r="A94" s="1"/>
      <c r="B94" s="1"/>
      <c r="C94" s="1"/>
      <c r="D94" s="1"/>
      <c r="E94" s="12" t="s">
        <v>261</v>
      </c>
      <c r="F94" s="31">
        <v>0</v>
      </c>
      <c r="G94" s="40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9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2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9">
        <v>0</v>
      </c>
      <c r="AF94" s="32">
        <v>0</v>
      </c>
      <c r="AG94" s="28">
        <v>0</v>
      </c>
      <c r="AH94" s="28">
        <v>0</v>
      </c>
      <c r="AI94" s="28">
        <v>0</v>
      </c>
      <c r="AJ94" s="28">
        <v>0</v>
      </c>
      <c r="AK94" s="29">
        <v>0</v>
      </c>
      <c r="AL94" s="32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9">
        <v>0</v>
      </c>
      <c r="AT94" s="32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9">
        <v>0</v>
      </c>
      <c r="BE94" s="32">
        <v>0</v>
      </c>
      <c r="BF94" s="28">
        <v>0</v>
      </c>
      <c r="BG94" s="29">
        <v>0</v>
      </c>
      <c r="BH94" s="33">
        <v>0</v>
      </c>
      <c r="BI94" s="33">
        <v>0</v>
      </c>
      <c r="BJ94" s="33">
        <v>0</v>
      </c>
    </row>
    <row r="95" spans="1:62" ht="39" customHeight="1" x14ac:dyDescent="0.35">
      <c r="A95" s="1"/>
      <c r="B95" s="1"/>
      <c r="C95" s="1"/>
      <c r="D95" s="1"/>
      <c r="E95" s="12" t="s">
        <v>262</v>
      </c>
      <c r="F95" s="31">
        <v>0</v>
      </c>
      <c r="G95" s="40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9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2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9">
        <v>0</v>
      </c>
      <c r="AF95" s="32">
        <v>0</v>
      </c>
      <c r="AG95" s="28">
        <v>0</v>
      </c>
      <c r="AH95" s="28">
        <v>0</v>
      </c>
      <c r="AI95" s="28">
        <v>0</v>
      </c>
      <c r="AJ95" s="28">
        <v>0</v>
      </c>
      <c r="AK95" s="29">
        <v>0</v>
      </c>
      <c r="AL95" s="32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9">
        <v>0</v>
      </c>
      <c r="AT95" s="32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9">
        <v>0</v>
      </c>
      <c r="BE95" s="32">
        <v>0</v>
      </c>
      <c r="BF95" s="28">
        <v>0</v>
      </c>
      <c r="BG95" s="29">
        <v>0</v>
      </c>
      <c r="BH95" s="33">
        <v>0</v>
      </c>
      <c r="BI95" s="33">
        <v>0</v>
      </c>
      <c r="BJ95" s="33">
        <v>0</v>
      </c>
    </row>
    <row r="96" spans="1:62" ht="39" customHeight="1" x14ac:dyDescent="0.35">
      <c r="A96" s="1"/>
      <c r="B96" s="1"/>
      <c r="C96" s="1"/>
      <c r="D96" s="1"/>
      <c r="E96" s="12" t="s">
        <v>263</v>
      </c>
      <c r="F96" s="31">
        <v>0</v>
      </c>
      <c r="G96" s="40">
        <v>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9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2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9">
        <v>0</v>
      </c>
      <c r="AF96" s="32">
        <v>0</v>
      </c>
      <c r="AG96" s="28">
        <v>0</v>
      </c>
      <c r="AH96" s="28">
        <v>0</v>
      </c>
      <c r="AI96" s="28">
        <v>0</v>
      </c>
      <c r="AJ96" s="28">
        <v>0</v>
      </c>
      <c r="AK96" s="29">
        <v>0</v>
      </c>
      <c r="AL96" s="32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9">
        <v>0</v>
      </c>
      <c r="AT96" s="32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9">
        <v>0</v>
      </c>
      <c r="BE96" s="32">
        <v>0</v>
      </c>
      <c r="BF96" s="28">
        <v>0</v>
      </c>
      <c r="BG96" s="29">
        <v>0</v>
      </c>
      <c r="BH96" s="33">
        <v>0</v>
      </c>
      <c r="BI96" s="33">
        <v>0</v>
      </c>
      <c r="BJ96" s="33">
        <v>0</v>
      </c>
    </row>
    <row r="97" spans="1:62" ht="39" customHeight="1" x14ac:dyDescent="0.35">
      <c r="A97" s="1"/>
      <c r="B97" s="1"/>
      <c r="C97" s="1"/>
      <c r="D97" s="1"/>
      <c r="E97" s="12" t="s">
        <v>264</v>
      </c>
      <c r="F97" s="31">
        <v>0</v>
      </c>
      <c r="G97" s="40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9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2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9">
        <v>0</v>
      </c>
      <c r="AF97" s="32">
        <v>0</v>
      </c>
      <c r="AG97" s="28">
        <v>0</v>
      </c>
      <c r="AH97" s="28">
        <v>0</v>
      </c>
      <c r="AI97" s="28">
        <v>0</v>
      </c>
      <c r="AJ97" s="28">
        <v>0</v>
      </c>
      <c r="AK97" s="29">
        <v>0</v>
      </c>
      <c r="AL97" s="32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9">
        <v>0</v>
      </c>
      <c r="AT97" s="32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9">
        <v>0</v>
      </c>
      <c r="BE97" s="32">
        <v>0</v>
      </c>
      <c r="BF97" s="28">
        <v>0</v>
      </c>
      <c r="BG97" s="29">
        <v>0</v>
      </c>
      <c r="BH97" s="33">
        <v>0</v>
      </c>
      <c r="BI97" s="33">
        <v>0</v>
      </c>
      <c r="BJ97" s="33">
        <v>0</v>
      </c>
    </row>
    <row r="98" spans="1:62" ht="39" customHeight="1" x14ac:dyDescent="0.35">
      <c r="A98" s="1"/>
      <c r="B98" s="1"/>
      <c r="C98" s="1"/>
      <c r="D98" s="1"/>
      <c r="E98" s="12" t="s">
        <v>265</v>
      </c>
      <c r="F98" s="31">
        <v>0</v>
      </c>
      <c r="G98" s="40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9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2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9">
        <v>0</v>
      </c>
      <c r="AF98" s="32">
        <v>0</v>
      </c>
      <c r="AG98" s="28">
        <v>0</v>
      </c>
      <c r="AH98" s="28">
        <v>0</v>
      </c>
      <c r="AI98" s="28">
        <v>0</v>
      </c>
      <c r="AJ98" s="28">
        <v>0</v>
      </c>
      <c r="AK98" s="29">
        <v>0</v>
      </c>
      <c r="AL98" s="32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9">
        <v>0</v>
      </c>
      <c r="AT98" s="32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9">
        <v>0</v>
      </c>
      <c r="BE98" s="32">
        <v>0</v>
      </c>
      <c r="BF98" s="28">
        <v>0</v>
      </c>
      <c r="BG98" s="29">
        <v>0</v>
      </c>
      <c r="BH98" s="33">
        <v>0</v>
      </c>
      <c r="BI98" s="33">
        <v>0</v>
      </c>
      <c r="BJ98" s="33">
        <v>0</v>
      </c>
    </row>
    <row r="99" spans="1:62" ht="39" customHeight="1" x14ac:dyDescent="0.35">
      <c r="A99" s="1"/>
      <c r="B99" s="1"/>
      <c r="C99" s="1"/>
      <c r="D99" s="1"/>
      <c r="E99" s="12" t="s">
        <v>266</v>
      </c>
      <c r="F99" s="31">
        <v>0</v>
      </c>
      <c r="G99" s="40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9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2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9">
        <v>0</v>
      </c>
      <c r="AF99" s="32">
        <v>0</v>
      </c>
      <c r="AG99" s="28">
        <v>0</v>
      </c>
      <c r="AH99" s="28">
        <v>0</v>
      </c>
      <c r="AI99" s="28">
        <v>0</v>
      </c>
      <c r="AJ99" s="28">
        <v>0</v>
      </c>
      <c r="AK99" s="29">
        <v>0</v>
      </c>
      <c r="AL99" s="32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9">
        <v>0</v>
      </c>
      <c r="AT99" s="32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9">
        <v>0</v>
      </c>
      <c r="BE99" s="32">
        <v>0</v>
      </c>
      <c r="BF99" s="28">
        <v>0</v>
      </c>
      <c r="BG99" s="29">
        <v>0</v>
      </c>
      <c r="BH99" s="33">
        <v>0</v>
      </c>
      <c r="BI99" s="33">
        <v>0</v>
      </c>
      <c r="BJ99" s="33">
        <v>0</v>
      </c>
    </row>
    <row r="100" spans="1:62" ht="39" customHeight="1" x14ac:dyDescent="0.35">
      <c r="A100" s="1"/>
      <c r="B100" s="1"/>
      <c r="C100" s="1"/>
      <c r="D100" s="1"/>
      <c r="E100" s="12" t="s">
        <v>267</v>
      </c>
      <c r="F100" s="31">
        <v>0</v>
      </c>
      <c r="G100" s="40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9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2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9">
        <v>0</v>
      </c>
      <c r="AF100" s="32">
        <v>0</v>
      </c>
      <c r="AG100" s="28">
        <v>0</v>
      </c>
      <c r="AH100" s="28">
        <v>0</v>
      </c>
      <c r="AI100" s="28">
        <v>0</v>
      </c>
      <c r="AJ100" s="28">
        <v>0</v>
      </c>
      <c r="AK100" s="29">
        <v>0</v>
      </c>
      <c r="AL100" s="32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9">
        <v>0</v>
      </c>
      <c r="AT100" s="32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9">
        <v>0</v>
      </c>
      <c r="BE100" s="32">
        <v>0</v>
      </c>
      <c r="BF100" s="28">
        <v>0</v>
      </c>
      <c r="BG100" s="29">
        <v>0</v>
      </c>
      <c r="BH100" s="33">
        <v>0</v>
      </c>
      <c r="BI100" s="33">
        <v>0</v>
      </c>
      <c r="BJ100" s="33">
        <v>0</v>
      </c>
    </row>
    <row r="101" spans="1:62" ht="39" customHeight="1" x14ac:dyDescent="0.35">
      <c r="A101" s="1"/>
      <c r="B101" s="1"/>
      <c r="C101" s="1"/>
      <c r="D101" s="1"/>
      <c r="E101" s="12" t="s">
        <v>268</v>
      </c>
      <c r="F101" s="31">
        <v>0</v>
      </c>
      <c r="G101" s="40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9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2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9">
        <v>0</v>
      </c>
      <c r="AF101" s="32">
        <v>0</v>
      </c>
      <c r="AG101" s="28">
        <v>0</v>
      </c>
      <c r="AH101" s="28">
        <v>0</v>
      </c>
      <c r="AI101" s="28">
        <v>0</v>
      </c>
      <c r="AJ101" s="28">
        <v>0</v>
      </c>
      <c r="AK101" s="29">
        <v>0</v>
      </c>
      <c r="AL101" s="32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9">
        <v>0</v>
      </c>
      <c r="AT101" s="32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9">
        <v>0</v>
      </c>
      <c r="BE101" s="32">
        <v>0</v>
      </c>
      <c r="BF101" s="28">
        <v>0</v>
      </c>
      <c r="BG101" s="29">
        <v>0</v>
      </c>
      <c r="BH101" s="33">
        <v>0</v>
      </c>
      <c r="BI101" s="33">
        <v>0</v>
      </c>
      <c r="BJ101" s="33">
        <v>0</v>
      </c>
    </row>
    <row r="102" spans="1:62" ht="39" customHeight="1" x14ac:dyDescent="0.35">
      <c r="A102" s="1"/>
      <c r="B102" s="1"/>
      <c r="C102" s="1"/>
      <c r="D102" s="1"/>
      <c r="E102" s="12" t="s">
        <v>269</v>
      </c>
      <c r="F102" s="31">
        <v>0</v>
      </c>
      <c r="G102" s="40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9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2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9">
        <v>0</v>
      </c>
      <c r="AF102" s="32">
        <v>0</v>
      </c>
      <c r="AG102" s="28">
        <v>0</v>
      </c>
      <c r="AH102" s="28">
        <v>0</v>
      </c>
      <c r="AI102" s="28">
        <v>0</v>
      </c>
      <c r="AJ102" s="28">
        <v>0</v>
      </c>
      <c r="AK102" s="29">
        <v>0</v>
      </c>
      <c r="AL102" s="32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9">
        <v>0</v>
      </c>
      <c r="AT102" s="32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9">
        <v>0</v>
      </c>
      <c r="BE102" s="32">
        <v>0</v>
      </c>
      <c r="BF102" s="28">
        <v>0</v>
      </c>
      <c r="BG102" s="29">
        <v>0</v>
      </c>
      <c r="BH102" s="33">
        <v>0</v>
      </c>
      <c r="BI102" s="33">
        <v>0</v>
      </c>
      <c r="BJ102" s="33">
        <v>0</v>
      </c>
    </row>
    <row r="103" spans="1:62" ht="39" customHeight="1" x14ac:dyDescent="0.35">
      <c r="A103" s="1"/>
      <c r="B103" s="1"/>
      <c r="C103" s="1"/>
      <c r="D103" s="1"/>
      <c r="E103" s="12" t="s">
        <v>270</v>
      </c>
      <c r="F103" s="31">
        <v>0</v>
      </c>
      <c r="G103" s="40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9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2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9">
        <v>0</v>
      </c>
      <c r="AF103" s="32">
        <v>0</v>
      </c>
      <c r="AG103" s="28">
        <v>0</v>
      </c>
      <c r="AH103" s="28">
        <v>0</v>
      </c>
      <c r="AI103" s="28">
        <v>0</v>
      </c>
      <c r="AJ103" s="28">
        <v>0</v>
      </c>
      <c r="AK103" s="29">
        <v>0</v>
      </c>
      <c r="AL103" s="32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9">
        <v>0</v>
      </c>
      <c r="AT103" s="32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9">
        <v>0</v>
      </c>
      <c r="BE103" s="32">
        <v>0</v>
      </c>
      <c r="BF103" s="28">
        <v>0</v>
      </c>
      <c r="BG103" s="29">
        <v>0</v>
      </c>
      <c r="BH103" s="33">
        <v>0</v>
      </c>
      <c r="BI103" s="33">
        <v>0</v>
      </c>
      <c r="BJ103" s="33">
        <v>0</v>
      </c>
    </row>
    <row r="104" spans="1:62" ht="39" customHeight="1" x14ac:dyDescent="0.35">
      <c r="A104" s="1"/>
      <c r="B104" s="1"/>
      <c r="C104" s="1"/>
      <c r="D104" s="1"/>
      <c r="E104" s="12" t="s">
        <v>271</v>
      </c>
      <c r="F104" s="31">
        <v>0</v>
      </c>
      <c r="G104" s="40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9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2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9">
        <v>0</v>
      </c>
      <c r="AF104" s="32">
        <v>0</v>
      </c>
      <c r="AG104" s="28">
        <v>0</v>
      </c>
      <c r="AH104" s="28">
        <v>0</v>
      </c>
      <c r="AI104" s="28">
        <v>0</v>
      </c>
      <c r="AJ104" s="28">
        <v>0</v>
      </c>
      <c r="AK104" s="29">
        <v>0</v>
      </c>
      <c r="AL104" s="32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9">
        <v>0</v>
      </c>
      <c r="AT104" s="32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9">
        <v>0</v>
      </c>
      <c r="BE104" s="32">
        <v>0</v>
      </c>
      <c r="BF104" s="28">
        <v>0</v>
      </c>
      <c r="BG104" s="29">
        <v>0</v>
      </c>
      <c r="BH104" s="33">
        <v>0</v>
      </c>
      <c r="BI104" s="33">
        <v>0</v>
      </c>
      <c r="BJ104" s="33">
        <v>0</v>
      </c>
    </row>
    <row r="105" spans="1:62" ht="39" customHeight="1" x14ac:dyDescent="0.35">
      <c r="A105" s="1"/>
      <c r="B105" s="1"/>
      <c r="C105" s="1"/>
      <c r="D105" s="1"/>
      <c r="E105" s="12" t="s">
        <v>272</v>
      </c>
      <c r="F105" s="31">
        <v>0</v>
      </c>
      <c r="G105" s="40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9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2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9">
        <v>0</v>
      </c>
      <c r="AF105" s="32">
        <v>0</v>
      </c>
      <c r="AG105" s="28">
        <v>0</v>
      </c>
      <c r="AH105" s="28">
        <v>0</v>
      </c>
      <c r="AI105" s="28">
        <v>0</v>
      </c>
      <c r="AJ105" s="28">
        <v>0</v>
      </c>
      <c r="AK105" s="29">
        <v>0</v>
      </c>
      <c r="AL105" s="32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9">
        <v>0</v>
      </c>
      <c r="AT105" s="32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9">
        <v>0</v>
      </c>
      <c r="BE105" s="32">
        <v>0</v>
      </c>
      <c r="BF105" s="28">
        <v>0</v>
      </c>
      <c r="BG105" s="29">
        <v>0</v>
      </c>
      <c r="BH105" s="33">
        <v>0</v>
      </c>
      <c r="BI105" s="33">
        <v>0</v>
      </c>
      <c r="BJ105" s="33">
        <v>0</v>
      </c>
    </row>
    <row r="106" spans="1:62" ht="39" customHeight="1" x14ac:dyDescent="0.35">
      <c r="A106" s="1"/>
      <c r="B106" s="1"/>
      <c r="C106" s="1"/>
      <c r="D106" s="1"/>
      <c r="E106" s="12" t="s">
        <v>273</v>
      </c>
      <c r="F106" s="31">
        <v>0</v>
      </c>
      <c r="G106" s="40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9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2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0</v>
      </c>
      <c r="AE106" s="29">
        <v>0</v>
      </c>
      <c r="AF106" s="32">
        <v>0</v>
      </c>
      <c r="AG106" s="28">
        <v>0</v>
      </c>
      <c r="AH106" s="28">
        <v>0</v>
      </c>
      <c r="AI106" s="28">
        <v>0</v>
      </c>
      <c r="AJ106" s="28">
        <v>0</v>
      </c>
      <c r="AK106" s="29">
        <v>0</v>
      </c>
      <c r="AL106" s="32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9">
        <v>0</v>
      </c>
      <c r="AT106" s="32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9">
        <v>0</v>
      </c>
      <c r="BE106" s="32">
        <v>0</v>
      </c>
      <c r="BF106" s="28">
        <v>0</v>
      </c>
      <c r="BG106" s="29">
        <v>0</v>
      </c>
      <c r="BH106" s="33">
        <v>0</v>
      </c>
      <c r="BI106" s="33">
        <v>0</v>
      </c>
      <c r="BJ106" s="33">
        <v>0</v>
      </c>
    </row>
    <row r="107" spans="1:62" ht="39" customHeight="1" x14ac:dyDescent="0.35">
      <c r="A107" s="1"/>
      <c r="B107" s="1"/>
      <c r="C107" s="1"/>
      <c r="D107" s="1"/>
      <c r="E107" s="12" t="s">
        <v>274</v>
      </c>
      <c r="F107" s="31">
        <v>0</v>
      </c>
      <c r="G107" s="40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9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2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9">
        <v>0</v>
      </c>
      <c r="AF107" s="32">
        <v>0</v>
      </c>
      <c r="AG107" s="28">
        <v>0</v>
      </c>
      <c r="AH107" s="28">
        <v>0</v>
      </c>
      <c r="AI107" s="28">
        <v>0</v>
      </c>
      <c r="AJ107" s="28">
        <v>0</v>
      </c>
      <c r="AK107" s="29">
        <v>0</v>
      </c>
      <c r="AL107" s="32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9">
        <v>0</v>
      </c>
      <c r="AT107" s="32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9">
        <v>0</v>
      </c>
      <c r="BE107" s="32">
        <v>0</v>
      </c>
      <c r="BF107" s="28">
        <v>0</v>
      </c>
      <c r="BG107" s="29">
        <v>0</v>
      </c>
      <c r="BH107" s="33">
        <v>0</v>
      </c>
      <c r="BI107" s="33">
        <v>0</v>
      </c>
      <c r="BJ107" s="33">
        <v>0</v>
      </c>
    </row>
    <row r="108" spans="1:62" ht="39" customHeight="1" x14ac:dyDescent="0.35">
      <c r="A108" s="1"/>
      <c r="B108" s="1"/>
      <c r="C108" s="1"/>
      <c r="D108" s="1"/>
      <c r="E108" s="12" t="s">
        <v>275</v>
      </c>
      <c r="F108" s="31">
        <v>0</v>
      </c>
      <c r="G108" s="40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9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2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9">
        <v>0</v>
      </c>
      <c r="AF108" s="32">
        <v>0</v>
      </c>
      <c r="AG108" s="28">
        <v>0</v>
      </c>
      <c r="AH108" s="28">
        <v>0</v>
      </c>
      <c r="AI108" s="28">
        <v>0</v>
      </c>
      <c r="AJ108" s="28">
        <v>0</v>
      </c>
      <c r="AK108" s="29">
        <v>0</v>
      </c>
      <c r="AL108" s="32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9">
        <v>0</v>
      </c>
      <c r="AT108" s="32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9">
        <v>0</v>
      </c>
      <c r="BE108" s="32">
        <v>0</v>
      </c>
      <c r="BF108" s="28">
        <v>0</v>
      </c>
      <c r="BG108" s="29">
        <v>0</v>
      </c>
      <c r="BH108" s="33">
        <v>0</v>
      </c>
      <c r="BI108" s="33">
        <v>0</v>
      </c>
      <c r="BJ108" s="33">
        <v>0</v>
      </c>
    </row>
    <row r="109" spans="1:62" ht="39" customHeight="1" x14ac:dyDescent="0.35">
      <c r="A109" s="1"/>
      <c r="B109" s="1"/>
      <c r="C109" s="1"/>
      <c r="D109" s="1"/>
      <c r="E109" s="12" t="s">
        <v>276</v>
      </c>
      <c r="F109" s="31">
        <v>0</v>
      </c>
      <c r="G109" s="40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9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2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9">
        <v>0</v>
      </c>
      <c r="AF109" s="32">
        <v>0</v>
      </c>
      <c r="AG109" s="28">
        <v>0</v>
      </c>
      <c r="AH109" s="28">
        <v>0</v>
      </c>
      <c r="AI109" s="28">
        <v>0</v>
      </c>
      <c r="AJ109" s="28">
        <v>0</v>
      </c>
      <c r="AK109" s="29">
        <v>0</v>
      </c>
      <c r="AL109" s="32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9">
        <v>0</v>
      </c>
      <c r="AT109" s="32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0</v>
      </c>
      <c r="AZ109" s="28">
        <v>0</v>
      </c>
      <c r="BA109" s="28">
        <v>0</v>
      </c>
      <c r="BB109" s="28">
        <v>0</v>
      </c>
      <c r="BC109" s="28">
        <v>0</v>
      </c>
      <c r="BD109" s="29">
        <v>0</v>
      </c>
      <c r="BE109" s="32">
        <v>0</v>
      </c>
      <c r="BF109" s="28">
        <v>0</v>
      </c>
      <c r="BG109" s="29">
        <v>0</v>
      </c>
      <c r="BH109" s="33">
        <v>0</v>
      </c>
      <c r="BI109" s="33">
        <v>0</v>
      </c>
      <c r="BJ109" s="33">
        <v>0</v>
      </c>
    </row>
    <row r="110" spans="1:62" ht="39" customHeight="1" x14ac:dyDescent="0.35">
      <c r="A110" s="1"/>
      <c r="B110" s="1"/>
      <c r="C110" s="1"/>
      <c r="D110" s="1"/>
      <c r="E110" s="12" t="s">
        <v>277</v>
      </c>
      <c r="F110" s="31">
        <v>0</v>
      </c>
      <c r="G110" s="46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8">
        <v>0</v>
      </c>
      <c r="Q110" s="31">
        <v>0</v>
      </c>
      <c r="R110" s="33">
        <v>0</v>
      </c>
      <c r="S110" s="33">
        <v>0</v>
      </c>
      <c r="T110" s="33">
        <v>0</v>
      </c>
      <c r="U110" s="33">
        <v>0</v>
      </c>
      <c r="V110" s="49">
        <v>0</v>
      </c>
      <c r="W110" s="50">
        <v>0</v>
      </c>
      <c r="X110" s="50">
        <v>0</v>
      </c>
      <c r="Y110" s="50">
        <v>0</v>
      </c>
      <c r="Z110" s="50">
        <v>0</v>
      </c>
      <c r="AA110" s="50">
        <v>0</v>
      </c>
      <c r="AB110" s="50">
        <v>0</v>
      </c>
      <c r="AC110" s="50">
        <v>0</v>
      </c>
      <c r="AD110" s="50">
        <v>0</v>
      </c>
      <c r="AE110" s="51">
        <v>0</v>
      </c>
      <c r="AF110" s="49">
        <v>0</v>
      </c>
      <c r="AG110" s="50">
        <v>0</v>
      </c>
      <c r="AH110" s="50">
        <v>0</v>
      </c>
      <c r="AI110" s="50">
        <v>0</v>
      </c>
      <c r="AJ110" s="50">
        <v>0</v>
      </c>
      <c r="AK110" s="51">
        <v>0</v>
      </c>
      <c r="AL110" s="49">
        <v>0</v>
      </c>
      <c r="AM110" s="50">
        <v>0</v>
      </c>
      <c r="AN110" s="50">
        <v>0</v>
      </c>
      <c r="AO110" s="50">
        <v>0</v>
      </c>
      <c r="AP110" s="50">
        <v>0</v>
      </c>
      <c r="AQ110" s="50">
        <v>0</v>
      </c>
      <c r="AR110" s="50">
        <v>0</v>
      </c>
      <c r="AS110" s="51">
        <v>0</v>
      </c>
      <c r="AT110" s="49">
        <v>0</v>
      </c>
      <c r="AU110" s="50">
        <v>0</v>
      </c>
      <c r="AV110" s="50">
        <v>0</v>
      </c>
      <c r="AW110" s="50">
        <v>0</v>
      </c>
      <c r="AX110" s="50">
        <v>0</v>
      </c>
      <c r="AY110" s="50">
        <v>0</v>
      </c>
      <c r="AZ110" s="50">
        <v>0</v>
      </c>
      <c r="BA110" s="50">
        <v>0</v>
      </c>
      <c r="BB110" s="50">
        <v>0</v>
      </c>
      <c r="BC110" s="50">
        <v>0</v>
      </c>
      <c r="BD110" s="51">
        <v>0</v>
      </c>
      <c r="BE110" s="49">
        <v>0</v>
      </c>
      <c r="BF110" s="50">
        <v>0</v>
      </c>
      <c r="BG110" s="51">
        <v>0</v>
      </c>
      <c r="BH110" s="33">
        <v>0</v>
      </c>
      <c r="BI110" s="33">
        <v>0</v>
      </c>
      <c r="BJ110" s="33">
        <v>0</v>
      </c>
    </row>
    <row r="111" spans="1:62" ht="23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 spans="1:62" ht="23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  <row r="113" spans="1:62" ht="23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spans="1:62" ht="23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</row>
    <row r="115" spans="1:62" ht="23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spans="1:62" ht="23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 spans="1:62" ht="23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</row>
    <row r="118" spans="1:62" ht="23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 spans="1:62" ht="23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</row>
    <row r="120" spans="1:62" ht="23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</row>
    <row r="121" spans="1:62" ht="23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spans="1:62" ht="23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spans="1:62" ht="23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ht="23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1:62" ht="23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 spans="1:62" ht="23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</row>
    <row r="127" spans="1:62" ht="23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</row>
    <row r="128" spans="1:62" ht="23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 spans="1:62" ht="23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spans="1:62" ht="23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ht="23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</row>
    <row r="132" spans="1:62" ht="23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 spans="1:62" ht="23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 spans="1:62" ht="23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</row>
    <row r="135" spans="1:62" ht="23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ht="23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spans="1:62" ht="23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 ht="23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ht="23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</row>
    <row r="140" spans="1:62" ht="23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 spans="1:62" ht="23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 spans="1:62" ht="23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</row>
    <row r="143" spans="1:62" ht="23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</row>
    <row r="144" spans="1:62" ht="23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 ht="23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ht="23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ht="23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spans="1:62" ht="23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 spans="1:62" ht="23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</row>
    <row r="150" spans="1:62" ht="23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 spans="1:62" ht="23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 spans="1:62" ht="23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</row>
    <row r="153" spans="1:62" ht="23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spans="1:62" ht="23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 spans="1:62" ht="23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ht="23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 spans="1:62" ht="23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</row>
    <row r="158" spans="1:62" ht="23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 spans="1:62" ht="23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</row>
    <row r="160" spans="1:62" ht="23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 spans="1:62" ht="23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62" ht="23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 spans="1:62" ht="23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spans="1:62" ht="23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</row>
    <row r="165" spans="1:62" ht="23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</row>
    <row r="166" spans="1:62" ht="23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 spans="1:62" ht="23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</row>
    <row r="168" spans="1:62" ht="23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</row>
    <row r="169" spans="1:62" ht="23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spans="1:62" ht="23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62" ht="23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 spans="1:62" ht="23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</row>
    <row r="173" spans="1:62" ht="23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 spans="1:62" ht="23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</row>
    <row r="175" spans="1:62" ht="23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</row>
    <row r="176" spans="1:62" ht="23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</row>
    <row r="177" spans="1:62" ht="23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</row>
    <row r="178" spans="1:62" ht="23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 spans="1:62" ht="23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</row>
    <row r="180" spans="1:62" ht="23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1:62" ht="23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1:62" ht="23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</row>
    <row r="183" spans="1:62" ht="23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 spans="1:62" ht="23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</row>
    <row r="185" spans="1:62" ht="23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62" ht="23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1:62" ht="23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62" ht="23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1:62" ht="23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62" ht="23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 spans="1:62" ht="23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spans="1:62" ht="23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 spans="1:62" ht="23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1:62" ht="23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spans="1:62" ht="23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 ht="23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spans="1:62" ht="23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 spans="1:62" ht="23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spans="1:62" ht="23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 spans="1:62" ht="23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ht="23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ht="23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1:62" ht="23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1:62" ht="23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spans="1:62" ht="23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ht="23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ht="23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1:62" ht="23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 ht="23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 spans="1:62" ht="23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1:62" ht="23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spans="1:62" ht="23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</row>
    <row r="213" spans="1:62" ht="23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 spans="1:62" ht="23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</row>
    <row r="215" spans="1:62" ht="23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 spans="1:62" ht="23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spans="1:62" ht="23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 spans="1:62" ht="23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spans="1:62" ht="23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 spans="1:62" ht="23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 spans="1:62" ht="23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 spans="1:62" ht="23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 spans="1:62" ht="23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spans="1:62" ht="23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spans="1:62" ht="23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spans="1:62" ht="23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 spans="1:62" ht="23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1:62" ht="23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spans="1:62" ht="23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1:62" ht="23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1:62" ht="23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 spans="1:62" ht="23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</row>
    <row r="233" spans="1:62" ht="23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</row>
    <row r="234" spans="1:62" ht="23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</row>
    <row r="235" spans="1:62" ht="23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 spans="1:62" ht="23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 spans="1:62" ht="23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</row>
    <row r="238" spans="1:62" ht="23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spans="1:62" ht="23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</row>
    <row r="240" spans="1:62" ht="23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</row>
    <row r="241" spans="1:62" ht="23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</row>
    <row r="242" spans="1:62" ht="23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</row>
    <row r="243" spans="1:62" ht="23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</row>
    <row r="244" spans="1:62" ht="23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</row>
    <row r="245" spans="1:62" ht="23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</row>
    <row r="246" spans="1:62" ht="23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</row>
    <row r="247" spans="1:62" ht="23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</row>
    <row r="248" spans="1:62" ht="23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</row>
    <row r="249" spans="1:62" ht="23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</row>
    <row r="250" spans="1:62" ht="23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</row>
    <row r="251" spans="1:62" ht="23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</row>
    <row r="252" spans="1:62" ht="23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</row>
    <row r="253" spans="1:62" ht="23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 spans="1:62" ht="23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</row>
    <row r="255" spans="1:62" ht="23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 spans="1:62" ht="23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</row>
    <row r="257" spans="1:62" ht="23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</row>
    <row r="258" spans="1:62" ht="23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</row>
    <row r="259" spans="1:62" ht="23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</row>
    <row r="260" spans="1:62" ht="23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</row>
    <row r="261" spans="1:62" ht="23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</row>
    <row r="262" spans="1:62" ht="23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</row>
    <row r="263" spans="1:62" ht="23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</row>
    <row r="264" spans="1:62" ht="23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</row>
    <row r="265" spans="1:62" ht="23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</row>
    <row r="266" spans="1:62" ht="23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</row>
    <row r="267" spans="1:62" ht="23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</row>
    <row r="268" spans="1:62" ht="23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</row>
    <row r="269" spans="1:62" ht="23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</row>
    <row r="270" spans="1:62" ht="23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</row>
    <row r="271" spans="1:62" ht="23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</row>
    <row r="272" spans="1:62" ht="23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</row>
    <row r="273" spans="1:62" ht="23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</row>
    <row r="274" spans="1:62" ht="23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</row>
    <row r="275" spans="1:62" ht="23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</row>
    <row r="276" spans="1:62" ht="23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</row>
    <row r="277" spans="1:62" ht="23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</row>
    <row r="278" spans="1:62" ht="23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</row>
    <row r="279" spans="1:62" ht="23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</row>
    <row r="280" spans="1:62" ht="23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</row>
    <row r="281" spans="1:62" ht="23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</row>
    <row r="282" spans="1:62" ht="23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</row>
    <row r="283" spans="1:62" ht="23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</row>
    <row r="284" spans="1:62" ht="23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</row>
    <row r="285" spans="1:62" ht="23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</row>
    <row r="286" spans="1:62" ht="23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</row>
    <row r="287" spans="1:62" ht="23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</row>
    <row r="288" spans="1:62" ht="23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spans="1:62" ht="23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</row>
    <row r="290" spans="1:62" ht="23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spans="1:62" ht="23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</row>
    <row r="292" spans="1:62" ht="23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</row>
    <row r="293" spans="1:62" ht="23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</row>
    <row r="294" spans="1:62" ht="23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 spans="1:62" ht="23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spans="1:62" ht="23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spans="1:62" ht="23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 spans="1:62" ht="23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 spans="1:62" ht="23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</row>
    <row r="300" spans="1:62" ht="23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 spans="1:62" ht="23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spans="1:62" ht="23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 spans="1:62" ht="23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 spans="1:62" ht="23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 spans="1:62" ht="23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 spans="1:62" ht="23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spans="1:62" ht="23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  <row r="308" spans="1:62" ht="23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 spans="1:62" ht="23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</row>
    <row r="310" spans="1:62" ht="23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</row>
    <row r="311" spans="1:62" ht="23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</row>
    <row r="312" spans="1:62" ht="23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 spans="1:62" ht="23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 spans="1:62" ht="23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</row>
    <row r="315" spans="1:62" ht="23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</row>
    <row r="316" spans="1:62" ht="23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 spans="1:62" ht="23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 spans="1:62" ht="23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 spans="1:62" ht="23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</row>
    <row r="320" spans="1:62" ht="23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</row>
    <row r="321" spans="1:62" ht="23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 spans="1:62" ht="23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</row>
    <row r="323" spans="1:62" ht="23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</row>
    <row r="324" spans="1:62" ht="23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</row>
    <row r="325" spans="1:62" ht="23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 spans="1:62" ht="23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 spans="1:62" ht="23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</row>
    <row r="328" spans="1:62" ht="23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</row>
    <row r="329" spans="1:62" ht="23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</row>
    <row r="330" spans="1:62" ht="23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 spans="1:62" ht="23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  <row r="332" spans="1:62" ht="23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</row>
    <row r="333" spans="1:62" ht="23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</row>
    <row r="334" spans="1:62" ht="23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</row>
    <row r="335" spans="1:62" ht="23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</row>
    <row r="336" spans="1:62" ht="23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</row>
    <row r="337" spans="1:62" ht="23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</row>
    <row r="338" spans="1:62" ht="23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</row>
    <row r="339" spans="1:62" ht="23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</row>
    <row r="340" spans="1:62" ht="23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</row>
    <row r="341" spans="1:62" ht="23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</row>
    <row r="342" spans="1:62" ht="23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</row>
    <row r="343" spans="1:62" ht="23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</row>
    <row r="344" spans="1:62" ht="23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</row>
    <row r="345" spans="1:62" ht="23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</row>
    <row r="346" spans="1:62" ht="23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</row>
    <row r="347" spans="1:62" ht="23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</row>
    <row r="348" spans="1:62" ht="23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</row>
    <row r="349" spans="1:62" ht="23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</row>
    <row r="350" spans="1:62" ht="23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</row>
    <row r="351" spans="1:62" ht="23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</row>
    <row r="352" spans="1:62" ht="23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</row>
    <row r="353" spans="1:62" ht="23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</row>
    <row r="354" spans="1:62" ht="23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</row>
    <row r="355" spans="1:62" ht="23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</row>
    <row r="356" spans="1:62" ht="23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</row>
    <row r="357" spans="1:62" ht="23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</row>
    <row r="358" spans="1:62" ht="23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</row>
    <row r="359" spans="1:62" ht="23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</row>
    <row r="360" spans="1:62" ht="23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</row>
    <row r="361" spans="1:62" ht="23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</row>
    <row r="362" spans="1:62" ht="23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</row>
    <row r="363" spans="1:62" ht="23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</row>
    <row r="364" spans="1:62" ht="23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</row>
    <row r="365" spans="1:62" ht="23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</row>
    <row r="366" spans="1:62" ht="23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</row>
    <row r="367" spans="1:62" ht="23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</row>
    <row r="368" spans="1:62" ht="23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</row>
    <row r="369" spans="1:62" ht="23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</row>
    <row r="370" spans="1:62" ht="23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</row>
    <row r="371" spans="1:62" ht="23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</row>
    <row r="372" spans="1:62" ht="23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</row>
    <row r="373" spans="1:62" ht="23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</row>
    <row r="374" spans="1:62" ht="23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</row>
    <row r="375" spans="1:62" ht="23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</row>
    <row r="376" spans="1:62" ht="23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</row>
    <row r="377" spans="1:62" ht="23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</row>
    <row r="378" spans="1:62" ht="23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</row>
    <row r="379" spans="1:62" ht="23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</row>
    <row r="380" spans="1:62" ht="23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</row>
    <row r="381" spans="1:62" ht="23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</row>
    <row r="382" spans="1:62" ht="23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</row>
    <row r="383" spans="1:62" ht="23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</row>
    <row r="384" spans="1:62" ht="23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</row>
    <row r="385" spans="1:62" ht="23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</row>
    <row r="386" spans="1:62" ht="23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</row>
    <row r="387" spans="1:62" ht="23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</row>
    <row r="388" spans="1:62" ht="23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</row>
    <row r="389" spans="1:62" ht="23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</row>
    <row r="390" spans="1:62" ht="23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</row>
    <row r="391" spans="1:62" ht="23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</row>
    <row r="392" spans="1:62" ht="23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</row>
    <row r="393" spans="1:62" ht="23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</row>
    <row r="394" spans="1:62" ht="23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</row>
    <row r="395" spans="1:62" ht="23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</row>
    <row r="396" spans="1:62" ht="23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</row>
    <row r="397" spans="1:62" ht="23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</row>
    <row r="398" spans="1:62" ht="23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</row>
    <row r="399" spans="1:62" ht="23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</row>
    <row r="400" spans="1:62" ht="23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</row>
    <row r="401" spans="1:62" ht="23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</row>
    <row r="402" spans="1:62" ht="23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</row>
    <row r="403" spans="1:62" ht="23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</row>
    <row r="404" spans="1:62" ht="23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</row>
    <row r="405" spans="1:62" ht="23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</row>
    <row r="406" spans="1:62" ht="23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</row>
    <row r="407" spans="1:62" ht="23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</row>
    <row r="408" spans="1:62" ht="23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</row>
    <row r="409" spans="1:62" ht="23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</row>
    <row r="410" spans="1:62" ht="23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</row>
    <row r="411" spans="1:62" ht="23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</row>
    <row r="412" spans="1:62" ht="23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</row>
    <row r="413" spans="1:62" ht="23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</row>
    <row r="414" spans="1:62" ht="23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</row>
    <row r="415" spans="1:62" ht="23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</row>
    <row r="416" spans="1:62" ht="23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</row>
    <row r="417" spans="1:62" ht="23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</row>
    <row r="418" spans="1:62" ht="23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</row>
    <row r="419" spans="1:62" ht="23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</row>
    <row r="420" spans="1:62" ht="23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</row>
    <row r="421" spans="1:62" ht="23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</row>
    <row r="422" spans="1:62" ht="23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</row>
    <row r="423" spans="1:62" ht="23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 spans="1:62" ht="23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</row>
    <row r="425" spans="1:62" ht="23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</row>
    <row r="426" spans="1:62" ht="23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</row>
    <row r="427" spans="1:62" ht="23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</row>
    <row r="428" spans="1:62" ht="23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</row>
    <row r="429" spans="1:62" ht="23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</row>
    <row r="430" spans="1:62" ht="23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</row>
    <row r="431" spans="1:62" ht="23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</row>
    <row r="432" spans="1:62" ht="23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</row>
    <row r="433" spans="1:62" ht="23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</row>
    <row r="434" spans="1:62" ht="23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</row>
    <row r="435" spans="1:62" ht="23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</row>
    <row r="436" spans="1:62" ht="23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</row>
    <row r="437" spans="1:62" ht="23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</row>
    <row r="438" spans="1:62" ht="23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</row>
    <row r="439" spans="1:62" ht="23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</row>
    <row r="440" spans="1:62" ht="23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</row>
    <row r="441" spans="1:62" ht="23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</row>
    <row r="442" spans="1:62" ht="23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</row>
    <row r="443" spans="1:62" ht="23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</row>
    <row r="444" spans="1:62" ht="23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</row>
    <row r="445" spans="1:62" ht="23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</row>
    <row r="446" spans="1:62" ht="23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</row>
    <row r="447" spans="1:62" ht="23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</row>
    <row r="448" spans="1:62" ht="23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</row>
    <row r="449" spans="1:62" ht="23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</row>
    <row r="450" spans="1:62" ht="23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</row>
    <row r="451" spans="1:62" ht="23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</row>
    <row r="452" spans="1:62" ht="23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</row>
    <row r="453" spans="1:62" ht="23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</row>
    <row r="454" spans="1:62" ht="23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</row>
    <row r="455" spans="1:62" ht="23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</row>
    <row r="456" spans="1:62" ht="23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</row>
    <row r="457" spans="1:62" ht="23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</row>
    <row r="458" spans="1:62" ht="23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</row>
    <row r="459" spans="1:62" ht="23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</row>
    <row r="460" spans="1:62" ht="23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</row>
    <row r="461" spans="1:62" ht="23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</row>
    <row r="462" spans="1:62" ht="23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</row>
    <row r="463" spans="1:62" ht="23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</row>
    <row r="464" spans="1:62" ht="23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</row>
    <row r="465" spans="1:62" ht="23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</row>
    <row r="466" spans="1:62" ht="23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</row>
    <row r="467" spans="1:62" ht="23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</row>
    <row r="468" spans="1:62" ht="23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</row>
    <row r="469" spans="1:62" ht="23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</row>
    <row r="470" spans="1:62" ht="23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</row>
    <row r="471" spans="1:62" ht="23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</row>
    <row r="472" spans="1:62" ht="23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</row>
    <row r="473" spans="1:62" ht="23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</row>
    <row r="474" spans="1:62" ht="23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</row>
    <row r="475" spans="1:62" ht="23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</row>
    <row r="476" spans="1:62" ht="23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</row>
    <row r="477" spans="1:62" ht="23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</row>
    <row r="478" spans="1:62" ht="23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</row>
    <row r="479" spans="1:62" ht="23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</row>
    <row r="480" spans="1:62" ht="23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</row>
    <row r="481" spans="1:62" ht="23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</row>
    <row r="482" spans="1:62" ht="23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</row>
    <row r="483" spans="1:62" ht="23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</row>
    <row r="484" spans="1:62" ht="23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</row>
    <row r="485" spans="1:62" ht="23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</row>
    <row r="486" spans="1:62" ht="23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</row>
    <row r="487" spans="1:62" ht="23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</row>
    <row r="488" spans="1:62" ht="23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</row>
    <row r="489" spans="1:62" ht="23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</row>
    <row r="490" spans="1:62" ht="23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</row>
    <row r="491" spans="1:62" ht="23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</row>
    <row r="492" spans="1:62" ht="23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</row>
    <row r="493" spans="1:62" ht="23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</row>
    <row r="494" spans="1:62" ht="23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</row>
    <row r="495" spans="1:62" ht="23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</row>
    <row r="496" spans="1:62" ht="23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</row>
    <row r="497" spans="1:62" ht="23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</row>
    <row r="498" spans="1:62" ht="23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</row>
    <row r="499" spans="1:62" ht="23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</row>
    <row r="500" spans="1:62" ht="23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</row>
    <row r="501" spans="1:62" ht="23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</row>
    <row r="502" spans="1:62" ht="23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</row>
    <row r="503" spans="1:62" ht="23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</row>
    <row r="504" spans="1:62" ht="23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</row>
    <row r="505" spans="1:62" ht="23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</row>
    <row r="506" spans="1:62" ht="23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</row>
    <row r="507" spans="1:62" ht="23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</row>
    <row r="508" spans="1:62" ht="23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</row>
    <row r="509" spans="1:62" ht="23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</row>
    <row r="510" spans="1:62" ht="23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</row>
    <row r="511" spans="1:62" ht="23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</row>
    <row r="512" spans="1:62" ht="23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</row>
    <row r="513" spans="1:62" ht="23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</row>
    <row r="514" spans="1:62" ht="23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</row>
    <row r="515" spans="1:62" ht="23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</row>
    <row r="516" spans="1:62" ht="23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</row>
    <row r="517" spans="1:62" ht="23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</row>
    <row r="518" spans="1:62" ht="23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</row>
    <row r="519" spans="1:62" ht="23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</row>
    <row r="520" spans="1:62" ht="23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</row>
    <row r="521" spans="1:62" ht="23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</row>
    <row r="522" spans="1:62" ht="23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</row>
    <row r="523" spans="1:62" ht="23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</row>
    <row r="524" spans="1:62" ht="23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</row>
    <row r="525" spans="1:62" ht="23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</row>
    <row r="526" spans="1:62" ht="23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</row>
    <row r="527" spans="1:62" ht="23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</row>
    <row r="528" spans="1:62" ht="23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</row>
    <row r="529" spans="1:62" ht="23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</row>
    <row r="530" spans="1:62" ht="23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</row>
    <row r="531" spans="1:62" ht="23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</row>
    <row r="532" spans="1:62" ht="23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</row>
    <row r="533" spans="1:62" ht="23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</row>
    <row r="534" spans="1:62" ht="23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</row>
    <row r="535" spans="1:62" ht="23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</row>
    <row r="536" spans="1:62" ht="23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</row>
    <row r="537" spans="1:62" ht="23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</row>
    <row r="538" spans="1:62" ht="23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</row>
    <row r="539" spans="1:62" ht="23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</row>
    <row r="540" spans="1:62" ht="23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</row>
    <row r="541" spans="1:62" ht="23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</row>
    <row r="542" spans="1:62" ht="23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</row>
    <row r="543" spans="1:62" ht="23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</row>
    <row r="544" spans="1:62" ht="23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</row>
    <row r="545" spans="1:62" ht="23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</row>
    <row r="546" spans="1:62" ht="23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</row>
    <row r="547" spans="1:62" ht="23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</row>
    <row r="548" spans="1:62" ht="23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</row>
    <row r="549" spans="1:62" ht="23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</row>
    <row r="550" spans="1:62" ht="23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</row>
    <row r="551" spans="1:62" ht="23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</row>
    <row r="552" spans="1:62" ht="23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</row>
    <row r="553" spans="1:62" ht="23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</row>
    <row r="554" spans="1:62" ht="23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</row>
    <row r="555" spans="1:62" ht="23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</row>
    <row r="556" spans="1:62" ht="23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</row>
    <row r="557" spans="1:62" ht="23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</row>
    <row r="558" spans="1:62" ht="23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</row>
    <row r="559" spans="1:62" ht="23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</row>
    <row r="560" spans="1:62" ht="23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</row>
    <row r="561" spans="1:62" ht="23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</row>
    <row r="562" spans="1:62" ht="23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</row>
    <row r="563" spans="1:62" ht="23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</row>
    <row r="564" spans="1:62" ht="23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</row>
    <row r="565" spans="1:62" ht="23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</row>
    <row r="566" spans="1:62" ht="23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</row>
    <row r="567" spans="1:62" ht="23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</row>
    <row r="568" spans="1:62" ht="23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</row>
    <row r="569" spans="1:62" ht="23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</row>
    <row r="570" spans="1:62" ht="23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</row>
    <row r="571" spans="1:62" ht="23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</row>
    <row r="572" spans="1:62" ht="23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</row>
    <row r="573" spans="1:62" ht="23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</row>
    <row r="574" spans="1:62" ht="23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</row>
    <row r="575" spans="1:62" ht="23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</row>
    <row r="576" spans="1:62" ht="23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</row>
    <row r="577" spans="1:62" ht="23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</row>
    <row r="578" spans="1:62" ht="23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</row>
    <row r="579" spans="1:62" ht="23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</row>
    <row r="580" spans="1:62" ht="23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</row>
    <row r="581" spans="1:62" ht="23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</row>
    <row r="582" spans="1:62" ht="23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</row>
    <row r="583" spans="1:62" ht="23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</row>
    <row r="584" spans="1:62" ht="23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</row>
    <row r="585" spans="1:62" ht="23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</row>
    <row r="586" spans="1:62" ht="23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</row>
    <row r="587" spans="1:62" ht="23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</row>
    <row r="588" spans="1:62" ht="23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</row>
    <row r="589" spans="1:62" ht="23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</row>
    <row r="590" spans="1:62" ht="23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</row>
    <row r="591" spans="1:62" ht="23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</row>
    <row r="592" spans="1:62" ht="23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</row>
    <row r="593" spans="1:62" ht="23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</row>
    <row r="594" spans="1:62" ht="23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</row>
    <row r="595" spans="1:62" ht="23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</row>
    <row r="596" spans="1:62" ht="23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</row>
    <row r="597" spans="1:62" ht="23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</row>
    <row r="598" spans="1:62" ht="23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</row>
    <row r="599" spans="1:62" ht="23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</row>
    <row r="600" spans="1:62" ht="23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</row>
    <row r="601" spans="1:62" ht="23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</row>
    <row r="602" spans="1:62" ht="23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</row>
    <row r="603" spans="1:62" ht="23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</row>
    <row r="604" spans="1:62" ht="23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</row>
    <row r="605" spans="1:62" ht="23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</row>
    <row r="606" spans="1:62" ht="23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</row>
    <row r="607" spans="1:62" ht="23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</row>
    <row r="608" spans="1:62" ht="23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</row>
    <row r="609" spans="1:62" ht="23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</row>
    <row r="610" spans="1:62" ht="23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</row>
    <row r="611" spans="1:62" ht="23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</row>
    <row r="612" spans="1:62" ht="23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</row>
    <row r="613" spans="1:62" ht="23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</row>
    <row r="614" spans="1:62" ht="23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</row>
    <row r="615" spans="1:62" ht="23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</row>
    <row r="616" spans="1:62" ht="23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</row>
    <row r="617" spans="1:62" ht="23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</row>
    <row r="618" spans="1:62" ht="23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</row>
    <row r="619" spans="1:62" ht="23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</row>
    <row r="620" spans="1:62" ht="23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</row>
    <row r="621" spans="1:62" ht="23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</row>
    <row r="622" spans="1:62" ht="23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</row>
    <row r="623" spans="1:62" ht="23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</row>
    <row r="624" spans="1:62" ht="23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</row>
    <row r="625" spans="1:62" ht="23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</row>
    <row r="626" spans="1:62" ht="23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</row>
    <row r="627" spans="1:62" ht="23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</row>
    <row r="628" spans="1:62" ht="23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</row>
    <row r="629" spans="1:62" ht="23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</row>
    <row r="630" spans="1:62" ht="23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</row>
    <row r="631" spans="1:62" ht="23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</row>
    <row r="632" spans="1:62" ht="23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</row>
    <row r="633" spans="1:62" ht="23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</row>
    <row r="634" spans="1:62" ht="23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</row>
    <row r="635" spans="1:62" ht="23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</row>
    <row r="636" spans="1:62" ht="23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</row>
    <row r="637" spans="1:62" ht="23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</row>
    <row r="638" spans="1:62" ht="23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</row>
    <row r="639" spans="1:62" ht="23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</row>
    <row r="640" spans="1:62" ht="23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</row>
    <row r="641" spans="1:62" ht="23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</row>
    <row r="642" spans="1:62" ht="23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</row>
    <row r="643" spans="1:62" ht="23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</row>
    <row r="644" spans="1:62" ht="23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</row>
    <row r="645" spans="1:62" ht="23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</row>
    <row r="646" spans="1:62" ht="23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</row>
    <row r="647" spans="1:62" ht="23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</row>
    <row r="648" spans="1:62" ht="23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</row>
    <row r="649" spans="1:62" ht="23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</row>
    <row r="650" spans="1:62" ht="23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</row>
    <row r="651" spans="1:62" ht="23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</row>
    <row r="652" spans="1:62" ht="23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</row>
    <row r="653" spans="1:62" ht="23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</row>
    <row r="654" spans="1:62" ht="23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</row>
    <row r="655" spans="1:62" ht="23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</row>
    <row r="656" spans="1:62" ht="23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</row>
    <row r="657" spans="1:62" ht="23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</row>
    <row r="658" spans="1:62" ht="23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</row>
    <row r="659" spans="1:62" ht="23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</row>
    <row r="660" spans="1:62" ht="23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</row>
    <row r="661" spans="1:62" ht="23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</row>
    <row r="662" spans="1:62" ht="23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</row>
    <row r="663" spans="1:62" ht="23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</row>
    <row r="664" spans="1:62" ht="23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</row>
    <row r="665" spans="1:62" ht="23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</row>
    <row r="666" spans="1:62" ht="23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</row>
    <row r="667" spans="1:62" ht="23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</row>
    <row r="668" spans="1:62" ht="23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</row>
    <row r="669" spans="1:62" ht="23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</row>
    <row r="670" spans="1:62" ht="23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</row>
    <row r="671" spans="1:62" ht="23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</row>
    <row r="672" spans="1:62" ht="23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</row>
    <row r="673" spans="1:62" ht="23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</row>
    <row r="674" spans="1:62" ht="23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</row>
    <row r="675" spans="1:62" ht="23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</row>
    <row r="676" spans="1:62" ht="23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</row>
    <row r="677" spans="1:62" ht="23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</row>
    <row r="678" spans="1:62" ht="23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</row>
    <row r="679" spans="1:62" ht="23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</row>
    <row r="680" spans="1:62" ht="23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</row>
    <row r="681" spans="1:62" ht="23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</row>
    <row r="682" spans="1:62" ht="23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</row>
    <row r="683" spans="1:62" ht="23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</row>
    <row r="684" spans="1:62" ht="23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</row>
    <row r="685" spans="1:62" ht="23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</row>
    <row r="686" spans="1:62" ht="23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</row>
    <row r="687" spans="1:62" ht="23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</row>
    <row r="688" spans="1:62" ht="23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</row>
    <row r="689" spans="1:62" ht="23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</row>
    <row r="690" spans="1:62" ht="23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</row>
    <row r="691" spans="1:62" ht="23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</row>
    <row r="692" spans="1:62" ht="23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</row>
    <row r="693" spans="1:62" ht="23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</row>
    <row r="694" spans="1:62" ht="23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</row>
    <row r="695" spans="1:62" ht="23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</row>
    <row r="696" spans="1:62" ht="23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</row>
    <row r="697" spans="1:62" ht="23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</row>
    <row r="698" spans="1:62" ht="23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</row>
    <row r="699" spans="1:62" ht="23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</row>
    <row r="700" spans="1:62" ht="23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</row>
    <row r="701" spans="1:62" ht="23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</row>
    <row r="702" spans="1:62" ht="23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</row>
    <row r="703" spans="1:62" ht="23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</row>
    <row r="704" spans="1:62" ht="23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</row>
    <row r="705" spans="1:62" ht="23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</row>
    <row r="706" spans="1:62" ht="23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</row>
    <row r="707" spans="1:62" ht="23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</row>
    <row r="708" spans="1:62" ht="23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</row>
    <row r="709" spans="1:62" ht="23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</row>
    <row r="710" spans="1:62" ht="23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</row>
    <row r="711" spans="1:62" ht="23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</row>
    <row r="712" spans="1:62" ht="23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</row>
    <row r="713" spans="1:62" ht="23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</row>
    <row r="714" spans="1:62" ht="23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</row>
    <row r="715" spans="1:62" ht="23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</row>
    <row r="716" spans="1:62" ht="23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</row>
    <row r="717" spans="1:62" ht="23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</row>
    <row r="718" spans="1:62" ht="23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</row>
    <row r="719" spans="1:62" ht="23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</row>
    <row r="720" spans="1:62" ht="23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</row>
    <row r="721" spans="1:62" ht="23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</row>
    <row r="722" spans="1:62" ht="23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</row>
    <row r="723" spans="1:62" ht="23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</row>
    <row r="724" spans="1:62" ht="23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</row>
    <row r="725" spans="1:62" ht="23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</row>
    <row r="726" spans="1:62" ht="23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</row>
    <row r="727" spans="1:62" ht="23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</row>
    <row r="728" spans="1:62" ht="23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</row>
    <row r="729" spans="1:62" ht="23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</row>
    <row r="730" spans="1:62" ht="23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</row>
    <row r="731" spans="1:62" ht="23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</row>
    <row r="732" spans="1:62" ht="23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</row>
    <row r="733" spans="1:62" ht="23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</row>
    <row r="734" spans="1:62" ht="23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</row>
    <row r="735" spans="1:62" ht="23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</row>
    <row r="736" spans="1:62" ht="23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</row>
    <row r="737" spans="1:62" ht="23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</row>
    <row r="738" spans="1:62" ht="23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</row>
    <row r="739" spans="1:62" ht="23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</row>
    <row r="740" spans="1:62" ht="23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</row>
    <row r="741" spans="1:62" ht="23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</row>
    <row r="742" spans="1:62" ht="23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</row>
    <row r="743" spans="1:62" ht="23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</row>
    <row r="744" spans="1:62" ht="23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</row>
    <row r="745" spans="1:62" ht="23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</row>
    <row r="746" spans="1:62" ht="23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</row>
    <row r="747" spans="1:62" ht="23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</row>
    <row r="748" spans="1:62" ht="23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</row>
    <row r="749" spans="1:62" ht="23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</row>
    <row r="750" spans="1:62" ht="23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</row>
    <row r="751" spans="1:62" ht="23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</row>
    <row r="752" spans="1:62" ht="23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</row>
    <row r="753" spans="1:62" ht="23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</row>
    <row r="754" spans="1:62" ht="23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</row>
    <row r="755" spans="1:62" ht="23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</row>
    <row r="756" spans="1:62" ht="23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</row>
    <row r="757" spans="1:62" ht="23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</row>
    <row r="758" spans="1:62" ht="23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</row>
    <row r="759" spans="1:62" ht="23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</row>
    <row r="760" spans="1:62" ht="23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</row>
    <row r="761" spans="1:62" ht="23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</row>
    <row r="762" spans="1:62" ht="23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</row>
    <row r="763" spans="1:62" ht="23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</row>
    <row r="764" spans="1:62" ht="23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</row>
    <row r="765" spans="1:62" ht="23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</row>
    <row r="766" spans="1:62" ht="23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</row>
    <row r="767" spans="1:62" ht="23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</row>
    <row r="768" spans="1:62" ht="23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</row>
    <row r="769" spans="1:62" ht="23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</row>
    <row r="770" spans="1:62" ht="23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</row>
    <row r="771" spans="1:62" ht="23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</row>
    <row r="772" spans="1:62" ht="23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</row>
    <row r="773" spans="1:62" ht="23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</row>
    <row r="774" spans="1:62" ht="23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</row>
    <row r="775" spans="1:62" ht="23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</row>
    <row r="776" spans="1:62" ht="23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</row>
    <row r="777" spans="1:62" ht="23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</row>
    <row r="778" spans="1:62" ht="23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</row>
    <row r="779" spans="1:62" ht="23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</row>
    <row r="780" spans="1:62" ht="23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</row>
    <row r="781" spans="1:62" ht="23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</row>
    <row r="782" spans="1:62" ht="23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</row>
    <row r="783" spans="1:62" ht="23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</row>
    <row r="784" spans="1:62" ht="23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</row>
    <row r="785" spans="1:62" ht="23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</row>
    <row r="786" spans="1:62" ht="23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</row>
    <row r="787" spans="1:62" ht="23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</row>
    <row r="788" spans="1:62" ht="23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</row>
    <row r="789" spans="1:62" ht="23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</row>
    <row r="790" spans="1:62" ht="23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</row>
    <row r="791" spans="1:62" ht="23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</row>
    <row r="792" spans="1:62" ht="23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</row>
    <row r="793" spans="1:62" ht="23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</row>
    <row r="794" spans="1:62" ht="23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</row>
    <row r="795" spans="1:62" ht="23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</row>
    <row r="796" spans="1:62" ht="23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</row>
    <row r="797" spans="1:62" ht="23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</row>
    <row r="798" spans="1:62" ht="23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</row>
    <row r="799" spans="1:62" ht="23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</row>
    <row r="800" spans="1:62" ht="23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</row>
    <row r="801" spans="1:62" ht="23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</row>
    <row r="802" spans="1:62" ht="23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</row>
    <row r="803" spans="1:62" ht="23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spans="1:62" ht="23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spans="1:62" ht="23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ht="23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ht="23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ht="23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ht="23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ht="23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ht="23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ht="23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ht="23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ht="23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ht="23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ht="23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ht="23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ht="23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ht="23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ht="23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ht="23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ht="23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ht="23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ht="23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ht="23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ht="23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ht="23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ht="23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ht="23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ht="23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ht="23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ht="23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ht="23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ht="23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ht="23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ht="23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ht="23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ht="23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ht="23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ht="23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ht="23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ht="23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ht="23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ht="23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ht="23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ht="23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ht="23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ht="23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ht="23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ht="23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ht="23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ht="23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ht="23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ht="23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ht="23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ht="23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ht="23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ht="23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ht="23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ht="23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ht="23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ht="23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ht="23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ht="23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ht="23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ht="23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ht="23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ht="23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ht="23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ht="23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ht="23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ht="23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ht="23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ht="23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ht="23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ht="23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ht="23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ht="23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ht="23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ht="23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ht="23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ht="23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ht="23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ht="23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ht="23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ht="23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ht="23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ht="23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ht="23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ht="23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ht="23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ht="23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ht="23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ht="23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ht="23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ht="23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ht="23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ht="23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ht="23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ht="23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ht="23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ht="23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ht="23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ht="23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ht="23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ht="23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ht="23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ht="23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ht="23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ht="23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ht="23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ht="23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ht="23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ht="23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ht="23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ht="23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ht="23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ht="23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ht="23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ht="23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ht="23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ht="23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ht="23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ht="23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ht="23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ht="23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ht="23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ht="23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ht="23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ht="23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ht="23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ht="23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ht="23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ht="23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ht="23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ht="23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ht="23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ht="23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ht="23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ht="23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ht="23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ht="23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ht="23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ht="23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ht="23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ht="23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ht="23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ht="23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ht="23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ht="23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ht="23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ht="23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ht="23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ht="23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ht="23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ht="23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ht="23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ht="23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ht="23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ht="23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spans="1:62" ht="23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spans="1:62" ht="23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spans="1:62" ht="23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spans="1:62" ht="23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spans="1:62" ht="23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spans="1:62" ht="23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spans="1:62" ht="23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 spans="1:62" ht="23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 spans="1:62" ht="23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 spans="1:62" ht="23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 spans="1:62" ht="23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 spans="1:62" ht="23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 spans="1:62" ht="23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 spans="1:62" ht="23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</row>
    <row r="975" spans="1:62" ht="23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 spans="1:62" ht="23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 spans="1:62" ht="23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 spans="1:62" ht="23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</row>
    <row r="979" spans="1:62" ht="23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</row>
    <row r="980" spans="1:62" ht="23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 spans="1:62" ht="23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 spans="1:62" ht="23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 spans="1:62" ht="23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 spans="1:62" ht="23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 spans="1:62" ht="23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 spans="1:62" ht="23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  <row r="987" spans="1:62" ht="23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</row>
    <row r="988" spans="1:62" ht="23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</row>
    <row r="989" spans="1:62" ht="23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</row>
    <row r="990" spans="1:62" ht="23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</row>
    <row r="991" spans="1:62" ht="23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</row>
    <row r="992" spans="1:62" ht="23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</row>
    <row r="993" spans="1:62" ht="23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</row>
    <row r="994" spans="1:62" ht="23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</row>
    <row r="995" spans="1:62" ht="23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</row>
    <row r="996" spans="1:62" ht="23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</row>
    <row r="997" spans="1:62" ht="23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</row>
    <row r="998" spans="1:62" ht="23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</row>
    <row r="999" spans="1:62" ht="23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</row>
    <row r="1000" spans="1:62" ht="23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</row>
  </sheetData>
  <mergeCells count="42">
    <mergeCell ref="AE7:AE9"/>
    <mergeCell ref="AF7:BG7"/>
    <mergeCell ref="AF8:AK8"/>
    <mergeCell ref="AL8:AS8"/>
    <mergeCell ref="F6:F9"/>
    <mergeCell ref="Z7:Z9"/>
    <mergeCell ref="AA7:AA9"/>
    <mergeCell ref="AB7:AC7"/>
    <mergeCell ref="AD7:AD9"/>
    <mergeCell ref="AB8:AB9"/>
    <mergeCell ref="AC8:AC9"/>
    <mergeCell ref="F4:BI4"/>
    <mergeCell ref="E6:E9"/>
    <mergeCell ref="G6:P6"/>
    <mergeCell ref="Q6:Q9"/>
    <mergeCell ref="R6:R9"/>
    <mergeCell ref="S6:S9"/>
    <mergeCell ref="BH7:BH9"/>
    <mergeCell ref="T6:T9"/>
    <mergeCell ref="U6:U9"/>
    <mergeCell ref="BI6:BI9"/>
    <mergeCell ref="V6:AE6"/>
    <mergeCell ref="AF6:BH6"/>
    <mergeCell ref="V7:V9"/>
    <mergeCell ref="W7:W9"/>
    <mergeCell ref="X7:X9"/>
    <mergeCell ref="BJ6:BJ9"/>
    <mergeCell ref="AF10:BG10"/>
    <mergeCell ref="G7:G9"/>
    <mergeCell ref="H7:H9"/>
    <mergeCell ref="D33:D36"/>
    <mergeCell ref="I7:I9"/>
    <mergeCell ref="J7:J9"/>
    <mergeCell ref="K7:K9"/>
    <mergeCell ref="L7:L9"/>
    <mergeCell ref="M7:M9"/>
    <mergeCell ref="N7:N9"/>
    <mergeCell ref="O7:O9"/>
    <mergeCell ref="P7:P9"/>
    <mergeCell ref="AT8:BD8"/>
    <mergeCell ref="BE8:BG8"/>
    <mergeCell ref="Y7:Y9"/>
  </mergeCells>
  <conditionalFormatting sqref="G1:BI3 F1:F6 BJ1:BJ1000 G5:BI1000 F10:F1000">
    <cfRule type="cellIs" dxfId="0" priority="1" operator="equal">
      <formula>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CARBURANT</vt:lpstr>
      <vt:lpstr>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GHADASABRINE YAAQOUBI</dc:creator>
  <cp:lastModifiedBy>Rida  Ouakrim</cp:lastModifiedBy>
  <dcterms:created xsi:type="dcterms:W3CDTF">2026-07-16T17:22:45Z</dcterms:created>
  <dcterms:modified xsi:type="dcterms:W3CDTF">2026-07-21T14:29:13Z</dcterms:modified>
</cp:coreProperties>
</file>